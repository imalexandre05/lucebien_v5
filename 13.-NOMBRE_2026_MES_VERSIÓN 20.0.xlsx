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 PERSONAL" sheetId="1" r:id="rId4"/>
    <sheet state="visible" name="DASHWORD" sheetId="2" r:id="rId5"/>
    <sheet state="visible" name="RESUMEN" sheetId="3" r:id="rId6"/>
    <sheet state="visible" name="ACUERDOS" sheetId="4" r:id="rId7"/>
    <sheet state="visible" name="PARAMETROS" sheetId="5" r:id="rId8"/>
    <sheet state="visible" name="RESUMEN ENTREGABLE" sheetId="6" r:id="rId9"/>
  </sheets>
  <definedNames/>
  <calcPr/>
  <extLst>
    <ext uri="GoogleSheetsCustomDataVersion2">
      <go:sheetsCustomData xmlns:go="http://customooxmlschemas.google.com/" r:id="rId10" roundtripDataChecksum="76CJefNBQwT98qSDe5zX26I6APc2ygbHAu48bYbctSQ="/>
    </ext>
  </extLst>
</workbook>
</file>

<file path=xl/sharedStrings.xml><?xml version="1.0" encoding="utf-8"?>
<sst xmlns="http://schemas.openxmlformats.org/spreadsheetml/2006/main" count="332" uniqueCount="223">
  <si>
    <t>PROCESOS DE REGISTRO DE PERSONAL</t>
  </si>
  <si>
    <t>ACUERDOS</t>
  </si>
  <si>
    <t>*PENSADO PARA PERSONAL QUE COBRA X MES
Y POR SEMANA</t>
  </si>
  <si>
    <t>Entrevista</t>
  </si>
  <si>
    <t>DAR UN PLACA DE REGALO</t>
  </si>
  <si>
    <t>Prueba (3 días) - resultado</t>
  </si>
  <si>
    <t>Registro de datos de personal</t>
  </si>
  <si>
    <t>Documentacion de personal</t>
  </si>
  <si>
    <t>Acuerdos de Contrado</t>
  </si>
  <si>
    <t>horarios</t>
  </si>
  <si>
    <t>sueldos</t>
  </si>
  <si>
    <t>metas</t>
  </si>
  <si>
    <t>funciones</t>
  </si>
  <si>
    <t>Registro de asistencias</t>
  </si>
  <si>
    <t>Registro automatico de las ventas mayores a 120 y las semanales ( 4 etapas)</t>
  </si>
  <si>
    <t>SEMANA DE GARANTÍA</t>
  </si>
  <si>
    <t>TOTAL DE VENTAS ACORDADO</t>
  </si>
  <si>
    <t>FECHAS DE PAGO</t>
  </si>
  <si>
    <t>3 DE CADA MES</t>
  </si>
  <si>
    <t>SUELDO MENSUAL</t>
  </si>
  <si>
    <t>Registro de adelantos</t>
  </si>
  <si>
    <t>registro de Reportes con descuento</t>
  </si>
  <si>
    <t>Registro de justificaciones</t>
  </si>
  <si>
    <t>TOTAL DE DÍAS</t>
  </si>
  <si>
    <t>Registro de Calculo de sueldo</t>
  </si>
  <si>
    <t>Nota Mensual de Colaboradaror y su resumen</t>
  </si>
  <si>
    <t xml:space="preserve">Observacione sde personal </t>
  </si>
  <si>
    <t>Que falta regularizar para sacar su cuenta</t>
  </si>
  <si>
    <t>Resumen informativo mensual</t>
  </si>
  <si>
    <t>DÍA</t>
  </si>
  <si>
    <t>HORA DE
INGRESO</t>
  </si>
  <si>
    <t>HORA DE
SALIDA</t>
  </si>
  <si>
    <t>FALTAS INJUSTIFICADAS</t>
  </si>
  <si>
    <t>LUGAR</t>
  </si>
  <si>
    <t>CANTIDAD DE 
HORAS</t>
  </si>
  <si>
    <t>HORAS
EN FORMATO
NÚMEROS</t>
  </si>
  <si>
    <t>HORAS EN 
FORMATO 
HORAS</t>
  </si>
  <si>
    <t>X</t>
  </si>
  <si>
    <t>MÍNIMO DE VENTAS PARA CONTINUAR</t>
  </si>
  <si>
    <t xml:space="preserve">HORAS POR
DÍAS DE LA
SEMANA </t>
  </si>
  <si>
    <t>COMISIONES</t>
  </si>
  <si>
    <t>-Comisiones del 2% para
 boletas mayores a 
(s/.120,00)
-Por cumplimiento de metas
 semanales (s/.30,00)</t>
  </si>
  <si>
    <t>TOTAL DE TARDANZAS</t>
  </si>
  <si>
    <t>TARDANZAS SIN JUSTIFICAR</t>
  </si>
  <si>
    <t>TOTAL DE VENTAS LOGRADO</t>
  </si>
  <si>
    <r>
      <rPr>
        <rFont val="Arial"/>
        <b/>
        <color theme="1"/>
        <sz val="18.0"/>
      </rPr>
      <t xml:space="preserve">HORAS EXTRAS 
</t>
    </r>
    <r>
      <rPr>
        <rFont val="Arial"/>
        <b/>
        <color theme="1"/>
        <sz val="6.0"/>
      </rPr>
      <t>(SI ES POSITIVO SE SUMA CON BENEFICIOS; SI ES NEGATIVO SE SUMA A DESCUENTOS)</t>
    </r>
  </si>
  <si>
    <t>CONTINUA CON EL TRABAJO</t>
  </si>
  <si>
    <t>LUNES</t>
  </si>
  <si>
    <t>ESQUINA</t>
  </si>
  <si>
    <t>BENEFICIOS</t>
  </si>
  <si>
    <t>TIEMPO DE CONTRATO</t>
  </si>
  <si>
    <t xml:space="preserve">1ERA COMISIÓN </t>
  </si>
  <si>
    <t>2DA COMISIÓN</t>
  </si>
  <si>
    <t>ADICIONAL POR CAPACITACIÓN</t>
  </si>
  <si>
    <t>DESCUENTOS</t>
  </si>
  <si>
    <t>PENALIDAD POR TARDANZAS</t>
  </si>
  <si>
    <t>PENALIDAD DE FALTAS</t>
  </si>
  <si>
    <t>OBSERVACIONES</t>
  </si>
  <si>
    <t>ADICIONALES</t>
  </si>
  <si>
    <t>- Almuerzo los días 
completo que se queda</t>
  </si>
  <si>
    <t>REPORTES</t>
  </si>
  <si>
    <t>Justificadas X defecto 3</t>
  </si>
  <si>
    <t>SUELDO</t>
  </si>
  <si>
    <t>TOTAL DE BENEFICIOS</t>
  </si>
  <si>
    <t xml:space="preserve">TOLERANCIA
DE INGRESO </t>
  </si>
  <si>
    <t>10 MINUTOS</t>
  </si>
  <si>
    <t>Justificadas x el colaborador</t>
  </si>
  <si>
    <t>LO RELLENA EL 
ADMINISTRADOR</t>
  </si>
  <si>
    <t>Horas de trabajos totales al mes</t>
  </si>
  <si>
    <t>TOTAL DE DESCUENTOS</t>
  </si>
  <si>
    <t>TOTAL FINAL POR PAGAR</t>
  </si>
  <si>
    <t>MARTES</t>
  </si>
  <si>
    <t>TOTAL DE ADELANTOS</t>
  </si>
  <si>
    <t>RESTANTE DE SUELDO</t>
  </si>
  <si>
    <t>TIEMPO DE 
AUMENTO</t>
  </si>
  <si>
    <t>Injustificadas</t>
  </si>
  <si>
    <t>ESCALAS</t>
  </si>
  <si>
    <t>PRECIO x HORAS</t>
  </si>
  <si>
    <t>CANCELADO ¿SI O NO?</t>
  </si>
  <si>
    <t>VA DEACUERDO A EVALUACIÓN</t>
  </si>
  <si>
    <t>Meta para este mes</t>
  </si>
  <si>
    <t>META SEMANAL</t>
  </si>
  <si>
    <t>HORAS X DÍA</t>
  </si>
  <si>
    <t>Horas x semana</t>
  </si>
  <si>
    <t>MAÑAMA</t>
  </si>
  <si>
    <t>*modificar los adicionales en en horas</t>
  </si>
  <si>
    <t>SUMA DE ALMUERZOS</t>
  </si>
  <si>
    <t>domingos</t>
  </si>
  <si>
    <t xml:space="preserve">Horas Semanales </t>
  </si>
  <si>
    <t>TOTAL FINAL INVERTIDO ADM.</t>
  </si>
  <si>
    <t>MIERCOLES</t>
  </si>
  <si>
    <t>1ER MES</t>
  </si>
  <si>
    <t>TARDE</t>
  </si>
  <si>
    <t>Total de tardanzas a descontar</t>
  </si>
  <si>
    <t xml:space="preserve">META X
 HORAS </t>
  </si>
  <si>
    <t>1ER, 2DO,3er MES</t>
  </si>
  <si>
    <t>5TO MES</t>
  </si>
  <si>
    <t>9NO MES</t>
  </si>
  <si>
    <t>MEDIO TIEMPO</t>
  </si>
  <si>
    <t>TIEMPO COMPLETO</t>
  </si>
  <si>
    <t>Meta Semanal</t>
  </si>
  <si>
    <t>TOTAL DE FALTAS</t>
  </si>
  <si>
    <t>Meta Semanal DESIGNADA</t>
  </si>
  <si>
    <t>JUEVES</t>
  </si>
  <si>
    <t>-</t>
  </si>
  <si>
    <t>DESCANSO</t>
  </si>
  <si>
    <t>justificadas</t>
  </si>
  <si>
    <t>injustificadas</t>
  </si>
  <si>
    <t>VIERNES</t>
  </si>
  <si>
    <t>stan 101</t>
  </si>
  <si>
    <t>TOTAL DE DIAS INJUSTIFICADOS  X DESCONTAR</t>
  </si>
  <si>
    <t>FECHAS</t>
  </si>
  <si>
    <t>METAS SEMANALES CUMPLIDAS</t>
  </si>
  <si>
    <t>DE</t>
  </si>
  <si>
    <t>SÁBADO</t>
  </si>
  <si>
    <t>ALMUERZOS PAGADOS</t>
  </si>
  <si>
    <t>VENTAS POR MESS</t>
  </si>
  <si>
    <t>HASTA</t>
  </si>
  <si>
    <t>CANTIDAD DE PERSONAS CAPACITADAS</t>
  </si>
  <si>
    <t>TIENDAS</t>
  </si>
  <si>
    <t>VENTAS</t>
  </si>
  <si>
    <t>ALQUILER</t>
  </si>
  <si>
    <t>VENTAS POR SEMANA</t>
  </si>
  <si>
    <t>DOMINGO</t>
  </si>
  <si>
    <t>ALMUERZOS NO PAGADOS</t>
  </si>
  <si>
    <t>1RA SEM.</t>
  </si>
  <si>
    <t>2DA SEM.</t>
  </si>
  <si>
    <t>3RA SEM.</t>
  </si>
  <si>
    <t>4TA SEM.</t>
  </si>
  <si>
    <t>SUELO RECOMENDADO 
A PERCIBIR</t>
  </si>
  <si>
    <t>FECHA</t>
  </si>
  <si>
    <t>DESCUENTOS(REPORTES)</t>
  </si>
  <si>
    <t>MONTO</t>
  </si>
  <si>
    <t>SUELO RECOMENDADO 
X DÍA</t>
  </si>
  <si>
    <t>METAS SEMANALES DE VENTA PARA COBRAR 30,00 ADICIONAL AL SUELDO</t>
  </si>
  <si>
    <t>MENSUAL</t>
  </si>
  <si>
    <t>CIDIGO DE DESCUENTO</t>
  </si>
  <si>
    <t>MOTIVOS Y DESCRIPCIÓN</t>
  </si>
  <si>
    <t>SUELO RECOMENDADO 
X HORAS
(MODIFICAR MANUAL)</t>
  </si>
  <si>
    <t>META MENSUAL PARA DESBLOQUEAR LAS COMISIONES 2%</t>
  </si>
  <si>
    <t>DIARIO</t>
  </si>
  <si>
    <t>g7</t>
  </si>
  <si>
    <t>malogro plancha</t>
  </si>
  <si>
    <t xml:space="preserve">TOTAL DE HORAS 
POR SEMANA </t>
  </si>
  <si>
    <t>HORAS</t>
  </si>
  <si>
    <t>TOTAL DE HORAS
 POR MES</t>
  </si>
  <si>
    <t>x</t>
  </si>
  <si>
    <t>TOTAL</t>
  </si>
  <si>
    <t>TOTAL DE HORAS POR DÍA
EN VALOR NUMÉRICO
(EN BASE DE 26 DÍAS)</t>
  </si>
  <si>
    <t>HORAS AL MES</t>
  </si>
  <si>
    <t>GRAN TOTAL</t>
  </si>
  <si>
    <t>TOTAL DE HORAS
 POR DÍA
(USAR LA REGLA DE TRES)</t>
  </si>
  <si>
    <t>horas x día</t>
  </si>
  <si>
    <t xml:space="preserve">DÍAS LABORABLES
</t>
  </si>
  <si>
    <t xml:space="preserve">TOTAL PAGADO </t>
  </si>
  <si>
    <t>DIAS 
SEM</t>
  </si>
  <si>
    <t>DIAS</t>
  </si>
  <si>
    <t>INGRESO</t>
  </si>
  <si>
    <t>SALIDA</t>
  </si>
  <si>
    <t>CANTIDAD DE HORAS 
LABORADAS</t>
  </si>
  <si>
    <t>HORAS POR DÍA
QUE DEBE CUJMPLIR</t>
  </si>
  <si>
    <t>DIFERENCIA
 DE HORAS</t>
  </si>
  <si>
    <t>SUMA Y DESCUENTOS X 
LA DIFERENCIA DE HORAS</t>
  </si>
  <si>
    <t>TARDANZAS
FALTAS
JUSTIFICADAS</t>
  </si>
  <si>
    <t>LUCE BIEN 1
(REDENTOR)</t>
  </si>
  <si>
    <t>ADELANTOS</t>
  </si>
  <si>
    <t>MOTIVO</t>
  </si>
  <si>
    <t>LUCEBIEN 2
(ESQUINA)</t>
  </si>
  <si>
    <t>LUCEBIEN 3
TRECE</t>
  </si>
  <si>
    <t>ONLINE</t>
  </si>
  <si>
    <t>TOTAL DE ALMUERZOS</t>
  </si>
  <si>
    <t>VALOR DE ALMUERZO
 QUE SE CUBRE</t>
  </si>
  <si>
    <t>MONTO TOTAL DE 
ALMUERZOS</t>
  </si>
  <si>
    <t>INGRESOS DE DINERO</t>
  </si>
  <si>
    <t>STAN (101-
102)</t>
  </si>
  <si>
    <t>1.-COMISIONES POR VENTAS &gt;120</t>
  </si>
  <si>
    <t>2.-METAS SEMANALES</t>
  </si>
  <si>
    <t>DOMINGOS ADICIONALES</t>
  </si>
  <si>
    <t>HORAS FUERA DE SU CONTRATO (ADICIONALES)</t>
  </si>
  <si>
    <t>FERIA</t>
  </si>
  <si>
    <t>TOTAL INGRESOS</t>
  </si>
  <si>
    <t>SUMA EN HORAS</t>
  </si>
  <si>
    <t>TOTAL HORAS NEGATIVAS</t>
  </si>
  <si>
    <t>DESCUENTOS DE DINERO</t>
  </si>
  <si>
    <t>HORAS QUE DEBE
CUMPLIS</t>
  </si>
  <si>
    <t>TOTAL HORAS ADICIONALES</t>
  </si>
  <si>
    <t>DESCUENTOS 2 DÍA DE FALTA</t>
  </si>
  <si>
    <t>DIFERENCIA DE 
HORAS</t>
  </si>
  <si>
    <t>TOTAL HORAS ADICIONALES O
EN CONTRA</t>
  </si>
  <si>
    <t>TOTAL DESCUENTOS</t>
  </si>
  <si>
    <t>HORAS ADICIONALES O EN CONTRA (DEPENDERÁ A SU ASISTENCIA) Y CAPACITADOS</t>
  </si>
  <si>
    <t>SUMA TOTAL DE COMISIONES</t>
  </si>
  <si>
    <t>DIFERENCIA DE HORAS (A FAVOR O EN CONTRA)</t>
  </si>
  <si>
    <t>MOTIVOS POR LO QUE SE LE DIÓ UN BONO EXTRA</t>
  </si>
  <si>
    <t>APOYO EN CAPACITACIÓN DE NUEVOS</t>
  </si>
  <si>
    <t>pintado de habitación</t>
  </si>
  <si>
    <t>TOTAL A PAGAR</t>
  </si>
  <si>
    <t>DESCUENTO POR TARDANZAS</t>
  </si>
  <si>
    <t>DESCUENTO POR REPORTES</t>
  </si>
  <si>
    <t>BONOS EXTRAS - FUERA DE LO ACORDADO</t>
  </si>
  <si>
    <t>TOTAL A PAGAR FINAL</t>
  </si>
  <si>
    <t>QUE FALTA REALIZAR PARA TERMINAR DE SACAR LA CUENTA</t>
  </si>
  <si>
    <t>FECHA QUE SE REVISARÁ</t>
  </si>
  <si>
    <t>TIEMPO REQUERIDO</t>
  </si>
  <si>
    <t>que devuelvan 3 ternos</t>
  </si>
  <si>
    <t>horas x 26 días</t>
  </si>
  <si>
    <t>que compre cable de la pc que malogro</t>
  </si>
  <si>
    <t>RESUMEN INFORMATIVO PARA COLABORADORES - PARA ENTREGARLOS</t>
  </si>
  <si>
    <t>CAJA</t>
  </si>
  <si>
    <t>RESUMEN INFORMATIVO DE COLABORADOR</t>
  </si>
  <si>
    <t>FECHA QUE SUCEDIÓ</t>
  </si>
  <si>
    <t>muchas faltas</t>
  </si>
  <si>
    <t>PAGOS ADICIONALES</t>
  </si>
  <si>
    <t>incidencias en el uniformes</t>
  </si>
  <si>
    <t>CUMPLIÓ METAS?</t>
  </si>
  <si>
    <t>SI</t>
  </si>
  <si>
    <t>NOTA CÓMO TRABAJOR</t>
  </si>
  <si>
    <t>CONSEJO DE MEJORA</t>
  </si>
  <si>
    <t xml:space="preserve">MEJORAR LA ATENCIÓN </t>
  </si>
  <si>
    <t>CAPACITACIONES GANADAS</t>
  </si>
  <si>
    <t>NINGUNA</t>
  </si>
  <si>
    <t>DIAS Y HORAS ADICIONALES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</si>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</sst>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S/.]#,##0.00"/>
    <numFmt numFmtId="165" formatCode="H:mm:ss"/>
    <numFmt numFmtId="166" formatCode="_-&quot;S/&quot;\ * #,##0.00_-;\-&quot;S/&quot;\ * #,##0.00_-;_-&quot;S/&quot;\ * &quot;-&quot;??_-;_-@"/>
    <numFmt numFmtId="167" formatCode="0.0"/>
    <numFmt numFmtId="168" formatCode="dd/mm/yyyy"/>
    <numFmt numFmtId="169" formatCode="#,##0.00;(#,##0.00)"/>
    <numFmt numFmtId="170" formatCode="dddd"/>
    <numFmt numFmtId="171" formatCode="dd/mm/yy"/>
    <numFmt numFmtId="172" formatCode="d/m/yy"/>
  </numFmts>
  <fonts count="62">
    <font>
      <sz val="10.0"/>
      <color rgb="FF000000"/>
      <name val="Arial"/>
      <scheme val="minor"/>
    </font>
    <font>
      <b/>
      <color theme="1"/>
      <name val="Arial"/>
      <scheme val="minor"/>
    </font>
    <font>
      <sz val="18.0"/>
      <color theme="1"/>
      <name val="Arial"/>
    </font>
    <font>
      <color theme="1"/>
      <name val="Arial"/>
      <scheme val="minor"/>
    </font>
    <font>
      <b/>
      <sz val="18.0"/>
      <color rgb="FF000000"/>
      <name val="Arial"/>
    </font>
    <font>
      <color theme="1"/>
      <name val="Arial"/>
    </font>
    <font/>
    <font>
      <b/>
      <sz val="18.0"/>
      <color theme="1"/>
      <name val="Arial"/>
    </font>
    <font>
      <b/>
      <sz val="12.0"/>
      <color rgb="FF000000"/>
      <name val="Arial"/>
    </font>
    <font>
      <b/>
      <sz val="22.0"/>
      <color rgb="FF000000"/>
      <name val="Calibri"/>
    </font>
    <font>
      <b/>
      <sz val="18.0"/>
      <color rgb="FFFFFFFF"/>
      <name val="Arial"/>
    </font>
    <font>
      <sz val="14.0"/>
      <color theme="1"/>
      <name val="Arial"/>
    </font>
    <font>
      <b/>
      <sz val="17.0"/>
      <color rgb="FFFFFFFF"/>
      <name val="Arial"/>
    </font>
    <font>
      <b/>
      <sz val="11.0"/>
      <color rgb="FFFFFFFF"/>
      <name val="Arial"/>
    </font>
    <font>
      <sz val="11.0"/>
      <color rgb="FF000000"/>
      <name val="Calibri"/>
    </font>
    <font>
      <sz val="12.0"/>
      <color theme="1"/>
      <name val="Arial"/>
    </font>
    <font>
      <sz val="14.0"/>
      <color rgb="FF000000"/>
      <name val="Arial"/>
    </font>
    <font>
      <b/>
      <color theme="1"/>
      <name val="Arial"/>
    </font>
    <font>
      <b/>
      <i/>
      <sz val="18.0"/>
      <color theme="1"/>
      <name val="Arial"/>
    </font>
    <font>
      <b/>
      <sz val="14.0"/>
      <color theme="1"/>
      <name val="Arial"/>
    </font>
    <font>
      <b/>
      <sz val="17.0"/>
      <color theme="1"/>
      <name val="Arial"/>
    </font>
    <font>
      <color rgb="FFFFFFFF"/>
      <name val="Arial"/>
    </font>
    <font>
      <b/>
      <sz val="19.0"/>
      <color rgb="FFFFFFFF"/>
      <name val="Arial"/>
    </font>
    <font>
      <sz val="20.0"/>
      <color theme="1"/>
      <name val="Arial"/>
    </font>
    <font>
      <b/>
      <sz val="12.0"/>
      <color theme="1"/>
      <name val="Arial"/>
    </font>
    <font>
      <b/>
      <sz val="19.0"/>
      <color theme="1"/>
      <name val="Arial"/>
    </font>
    <font>
      <sz val="23.0"/>
      <color rgb="FF000000"/>
      <name val="Arial"/>
    </font>
    <font>
      <sz val="23.0"/>
      <color theme="1"/>
      <name val="Arial"/>
    </font>
    <font>
      <b/>
      <sz val="23.0"/>
      <color theme="1"/>
      <name val="Arial"/>
    </font>
    <font>
      <sz val="8.0"/>
      <color theme="1"/>
      <name val="Arial"/>
    </font>
    <font>
      <b/>
      <sz val="8.0"/>
      <color rgb="FFFFFFFF"/>
      <name val="Arial"/>
    </font>
    <font>
      <b/>
      <sz val="13.0"/>
      <color rgb="FFFFFFFF"/>
      <name val="Arial"/>
    </font>
    <font>
      <b/>
      <color rgb="FFFFFFFF"/>
      <name val="Arial"/>
    </font>
    <font>
      <b/>
      <sz val="11.0"/>
      <color rgb="FF000000"/>
      <name val="Calibri"/>
    </font>
    <font>
      <b/>
      <sz val="16.0"/>
      <color rgb="FF000000"/>
      <name val="Calibri"/>
    </font>
    <font>
      <b/>
      <sz val="53.0"/>
      <color rgb="FF000000"/>
      <name val="Calibri"/>
    </font>
    <font>
      <b/>
      <sz val="27.0"/>
      <color rgb="FF000000"/>
      <name val="Calibri"/>
    </font>
    <font>
      <sz val="17.0"/>
      <color rgb="FF000000"/>
      <name val="Calibri"/>
    </font>
    <font>
      <sz val="10.0"/>
      <color theme="1"/>
      <name val="Arial"/>
    </font>
    <font>
      <b/>
      <sz val="20.0"/>
      <color rgb="FF000000"/>
      <name val="Calibri"/>
    </font>
    <font>
      <b/>
      <sz val="15.0"/>
      <color theme="1"/>
      <name val="Arial"/>
    </font>
    <font>
      <sz val="16.0"/>
      <color rgb="FF000000"/>
      <name val="Calibri"/>
    </font>
    <font>
      <sz val="19.0"/>
      <color rgb="FF000000"/>
      <name val="Calibri"/>
    </font>
    <font>
      <b/>
      <color rgb="FF000000"/>
      <name val="Arial"/>
    </font>
    <font>
      <color rgb="FF000000"/>
      <name val="Arial"/>
    </font>
    <font>
      <sz val="20.0"/>
      <color rgb="FF000000"/>
      <name val="Calibri"/>
    </font>
    <font>
      <b/>
      <sz val="17.0"/>
      <color rgb="FF000000"/>
      <name val="Calibri"/>
    </font>
    <font>
      <b/>
      <sz val="26.0"/>
      <color theme="1"/>
      <name val="Arial"/>
    </font>
    <font>
      <sz val="11.0"/>
      <color theme="1"/>
      <name val="Calibri"/>
    </font>
    <font>
      <b/>
      <sz val="38.0"/>
      <color rgb="FF000000"/>
      <name val="Calibri"/>
    </font>
    <font>
      <sz val="11.0"/>
      <color theme="1"/>
      <name val="Arial"/>
    </font>
    <font>
      <b/>
      <sz val="14.0"/>
      <color rgb="FF00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sz val="19.0"/>
      <color rgb="FF000000"/>
      <name val="Calibri"/>
    </font>
    <font>
      <b/>
      <sz val="11.0"/>
      <color theme="1"/>
      <name val="Calibri"/>
    </font>
    <font>
      <b/>
      <sz val="10.0"/>
      <color theme="1"/>
      <name val="Arial"/>
    </font>
    <font>
      <b/>
      <sz val="17.0"/>
      <color theme="1"/>
      <name val="Calibri"/>
    </font>
    <font>
      <b/>
      <sz val="16.0"/>
      <color theme="1"/>
      <name val="Arial"/>
    </font>
    <font>
      <b/>
      <sz val="18.0"/>
      <color rgb="FF000000"/>
      <name val="Calibri"/>
    </font>
    <font>
      <b/>
      <sz val="24.0"/>
      <color theme="1"/>
      <name val="Arial"/>
    </font>
    <font>
      <b/>
      <sz val="22.0"/>
      <color theme="1"/>
      <name val="Calibri"/>
    </font>
  </fonts>
  <fills count="3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F9CB9C"/>
        <bgColor rgb="FFF9CB9C"/>
      </patternFill>
    </fill>
    <fill>
      <patternFill patternType="solid">
        <fgColor rgb="FF999999"/>
        <bgColor rgb="FF999999"/>
      </patternFill>
    </fill>
    <fill>
      <patternFill patternType="solid">
        <fgColor rgb="FF073763"/>
        <bgColor rgb="FF073763"/>
      </patternFill>
    </fill>
    <fill>
      <patternFill patternType="solid">
        <fgColor rgb="FF00FFFF"/>
        <bgColor rgb="FF00FFFF"/>
      </patternFill>
    </fill>
    <fill>
      <patternFill patternType="solid">
        <fgColor rgb="FF980000"/>
        <bgColor rgb="FF980000"/>
      </patternFill>
    </fill>
    <fill>
      <patternFill patternType="solid">
        <fgColor rgb="FFFCE5CD"/>
        <bgColor rgb="FFFCE5CD"/>
      </patternFill>
    </fill>
    <fill>
      <patternFill patternType="solid">
        <fgColor rgb="FF1C4587"/>
        <bgColor rgb="FF1C4587"/>
      </patternFill>
    </fill>
    <fill>
      <patternFill patternType="solid">
        <fgColor rgb="FF9FC5E8"/>
        <bgColor rgb="FF9FC5E8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E69138"/>
        <bgColor rgb="FFE69138"/>
      </patternFill>
    </fill>
    <fill>
      <patternFill patternType="solid">
        <fgColor rgb="FFFFC000"/>
        <bgColor rgb="FFFFC000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theme="9"/>
        <bgColor theme="9"/>
      </patternFill>
    </fill>
    <fill>
      <patternFill patternType="solid">
        <fgColor rgb="FF3C78D8"/>
        <bgColor rgb="FF3C78D8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46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ck">
        <color rgb="FF000000"/>
      </left>
    </border>
    <border>
      <left style="thin">
        <color rgb="FF000000"/>
      </left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4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center" vertical="center"/>
    </xf>
    <xf borderId="0" fillId="0" fontId="5" numFmtId="0" xfId="0" applyFont="1"/>
    <xf borderId="2" fillId="0" fontId="6" numFmtId="0" xfId="0" applyBorder="1" applyFont="1"/>
    <xf borderId="0" fillId="0" fontId="7" numFmtId="0" xfId="0" applyFont="1"/>
    <xf borderId="3" fillId="0" fontId="6" numFmtId="0" xfId="0" applyBorder="1" applyFont="1"/>
    <xf borderId="1" fillId="2" fontId="8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4" fillId="4" fontId="7" numFmtId="0" xfId="0" applyBorder="1" applyFill="1" applyFont="1"/>
    <xf borderId="1" fillId="3" fontId="2" numFmtId="164" xfId="0" applyAlignment="1" applyBorder="1" applyFont="1" applyNumberFormat="1">
      <alignment horizontal="center" vertical="center"/>
    </xf>
    <xf borderId="4" fillId="5" fontId="9" numFmtId="0" xfId="0" applyAlignment="1" applyBorder="1" applyFill="1" applyFont="1">
      <alignment horizontal="center" vertical="center"/>
    </xf>
    <xf borderId="5" fillId="5" fontId="10" numFmtId="0" xfId="0" applyAlignment="1" applyBorder="1" applyFont="1">
      <alignment horizontal="center" vertical="center"/>
    </xf>
    <xf borderId="4" fillId="4" fontId="5" numFmtId="164" xfId="0" applyBorder="1" applyFont="1" applyNumberFormat="1"/>
    <xf borderId="4" fillId="6" fontId="7" numFmtId="0" xfId="0" applyBorder="1" applyFill="1" applyFont="1"/>
    <xf borderId="4" fillId="5" fontId="10" numFmtId="0" xfId="0" applyAlignment="1" applyBorder="1" applyFont="1">
      <alignment horizontal="center" vertical="center"/>
    </xf>
    <xf borderId="4" fillId="6" fontId="11" numFmtId="0" xfId="0" applyBorder="1" applyFont="1"/>
    <xf borderId="4" fillId="7" fontId="12" numFmtId="4" xfId="0" applyAlignment="1" applyBorder="1" applyFill="1" applyFont="1" applyNumberFormat="1">
      <alignment horizontal="center" vertical="center"/>
    </xf>
    <xf borderId="4" fillId="5" fontId="13" numFmtId="0" xfId="0" applyAlignment="1" applyBorder="1" applyFont="1">
      <alignment horizontal="center" vertical="center"/>
    </xf>
    <xf borderId="6" fillId="8" fontId="13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0" fontId="14" numFmtId="0" xfId="0" applyFont="1"/>
    <xf borderId="7" fillId="3" fontId="15" numFmtId="0" xfId="0" applyAlignment="1" applyBorder="1" applyFont="1">
      <alignment horizontal="right"/>
    </xf>
    <xf borderId="8" fillId="3" fontId="16" numFmtId="0" xfId="0" applyBorder="1" applyFont="1"/>
    <xf borderId="4" fillId="4" fontId="5" numFmtId="4" xfId="0" applyBorder="1" applyFont="1" applyNumberFormat="1"/>
    <xf borderId="9" fillId="9" fontId="14" numFmtId="0" xfId="0" applyAlignment="1" applyBorder="1" applyFill="1" applyFont="1">
      <alignment horizontal="center" vertical="center"/>
    </xf>
    <xf borderId="4" fillId="5" fontId="2" numFmtId="0" xfId="0" applyBorder="1" applyFont="1"/>
    <xf borderId="5" fillId="0" fontId="5" numFmtId="0" xfId="0" applyAlignment="1" applyBorder="1" applyFont="1">
      <alignment horizontal="center" vertical="center"/>
    </xf>
    <xf borderId="4" fillId="9" fontId="14" numFmtId="21" xfId="0" applyAlignment="1" applyBorder="1" applyFont="1" applyNumberFormat="1">
      <alignment horizontal="center" vertical="center"/>
    </xf>
    <xf borderId="4" fillId="9" fontId="5" numFmtId="21" xfId="0" applyAlignment="1" applyBorder="1" applyFont="1" applyNumberFormat="1">
      <alignment horizontal="center" vertical="center"/>
    </xf>
    <xf borderId="4" fillId="5" fontId="17" numFmtId="0" xfId="0" applyAlignment="1" applyBorder="1" applyFont="1">
      <alignment vertical="center"/>
    </xf>
    <xf borderId="4" fillId="0" fontId="5" numFmtId="0" xfId="0" applyAlignment="1" applyBorder="1" applyFont="1">
      <alignment horizontal="center" vertical="center"/>
    </xf>
    <xf borderId="4" fillId="10" fontId="7" numFmtId="0" xfId="0" applyBorder="1" applyFill="1" applyFont="1"/>
    <xf borderId="4" fillId="10" fontId="5" numFmtId="0" xfId="0" applyBorder="1" applyFont="1"/>
    <xf borderId="4" fillId="10" fontId="2" numFmtId="0" xfId="0" applyAlignment="1" applyBorder="1" applyFont="1">
      <alignment horizontal="left"/>
    </xf>
    <xf borderId="4" fillId="0" fontId="5" numFmtId="4" xfId="0" applyAlignment="1" applyBorder="1" applyFont="1" applyNumberFormat="1">
      <alignment horizontal="center" vertical="center"/>
    </xf>
    <xf borderId="4" fillId="10" fontId="5" numFmtId="164" xfId="0" applyBorder="1" applyFont="1" applyNumberFormat="1"/>
    <xf borderId="4" fillId="11" fontId="7" numFmtId="0" xfId="0" applyBorder="1" applyFill="1" applyFont="1"/>
    <xf borderId="4" fillId="11" fontId="5" numFmtId="0" xfId="0" applyBorder="1" applyFont="1"/>
    <xf borderId="4" fillId="11" fontId="2" numFmtId="0" xfId="0" applyAlignment="1" applyBorder="1" applyFont="1">
      <alignment horizontal="left"/>
    </xf>
    <xf borderId="4" fillId="11" fontId="5" numFmtId="164" xfId="0" applyBorder="1" applyFont="1" applyNumberFormat="1"/>
    <xf borderId="9" fillId="10" fontId="14" numFmtId="165" xfId="0" applyAlignment="1" applyBorder="1" applyFont="1" applyNumberFormat="1">
      <alignment horizontal="center" vertical="center"/>
    </xf>
    <xf borderId="9" fillId="0" fontId="5" numFmtId="0" xfId="0" applyAlignment="1" applyBorder="1" applyFont="1">
      <alignment horizontal="center" vertical="center"/>
    </xf>
    <xf borderId="10" fillId="12" fontId="18" numFmtId="0" xfId="0" applyAlignment="1" applyBorder="1" applyFill="1" applyFont="1">
      <alignment horizontal="center"/>
    </xf>
    <xf borderId="5" fillId="0" fontId="6" numFmtId="0" xfId="0" applyBorder="1" applyFont="1"/>
    <xf borderId="11" fillId="3" fontId="15" numFmtId="0" xfId="0" applyAlignment="1" applyBorder="1" applyFont="1">
      <alignment horizontal="right"/>
    </xf>
    <xf borderId="12" fillId="3" fontId="11" numFmtId="0" xfId="0" applyBorder="1" applyFont="1"/>
    <xf borderId="10" fillId="12" fontId="17" numFmtId="0" xfId="0" applyAlignment="1" applyBorder="1" applyFont="1">
      <alignment horizontal="center"/>
    </xf>
    <xf borderId="13" fillId="0" fontId="6" numFmtId="0" xfId="0" applyBorder="1" applyFont="1"/>
    <xf borderId="4" fillId="9" fontId="14" numFmtId="21" xfId="0" applyAlignment="1" applyBorder="1" applyFont="1" applyNumberFormat="1">
      <alignment horizontal="center" readingOrder="0" vertical="center"/>
    </xf>
    <xf borderId="4" fillId="4" fontId="5" numFmtId="166" xfId="0" applyBorder="1" applyFont="1" applyNumberFormat="1"/>
    <xf borderId="4" fillId="4" fontId="2" numFmtId="0" xfId="0" applyBorder="1" applyFont="1"/>
    <xf borderId="12" fillId="3" fontId="11" numFmtId="0" xfId="0" applyAlignment="1" applyBorder="1" applyFont="1">
      <alignment readingOrder="0"/>
    </xf>
    <xf borderId="0" fillId="13" fontId="5" numFmtId="0" xfId="0" applyAlignment="1" applyFill="1" applyFont="1">
      <alignment horizontal="right"/>
    </xf>
    <xf borderId="4" fillId="12" fontId="19" numFmtId="0" xfId="0" applyBorder="1" applyFont="1"/>
    <xf borderId="4" fillId="12" fontId="20" numFmtId="4" xfId="0" applyAlignment="1" applyBorder="1" applyFont="1" applyNumberFormat="1">
      <alignment horizontal="right"/>
    </xf>
    <xf borderId="4" fillId="3" fontId="18" numFmtId="0" xfId="0" applyBorder="1" applyFont="1"/>
    <xf borderId="9" fillId="14" fontId="14" numFmtId="0" xfId="0" applyAlignment="1" applyBorder="1" applyFill="1" applyFont="1">
      <alignment horizontal="center" vertical="center"/>
    </xf>
    <xf borderId="5" fillId="14" fontId="5" numFmtId="0" xfId="0" applyAlignment="1" applyBorder="1" applyFont="1">
      <alignment horizontal="center" vertical="center"/>
    </xf>
    <xf borderId="4" fillId="3" fontId="17" numFmtId="166" xfId="0" applyBorder="1" applyFont="1" applyNumberFormat="1"/>
    <xf borderId="4" fillId="14" fontId="5" numFmtId="0" xfId="0" applyAlignment="1" applyBorder="1" applyFont="1">
      <alignment horizontal="center" vertical="center"/>
    </xf>
    <xf borderId="4" fillId="14" fontId="5" numFmtId="4" xfId="0" applyAlignment="1" applyBorder="1" applyFont="1" applyNumberFormat="1">
      <alignment horizontal="center" vertical="center"/>
    </xf>
    <xf borderId="4" fillId="3" fontId="2" numFmtId="0" xfId="0" applyBorder="1" applyFont="1"/>
    <xf borderId="4" fillId="3" fontId="5" numFmtId="164" xfId="0" applyBorder="1" applyFont="1" applyNumberFormat="1"/>
    <xf borderId="9" fillId="14" fontId="5" numFmtId="0" xfId="0" applyAlignment="1" applyBorder="1" applyFont="1">
      <alignment horizontal="center" vertical="center"/>
    </xf>
    <xf borderId="14" fillId="15" fontId="21" numFmtId="0" xfId="0" applyAlignment="1" applyBorder="1" applyFill="1" applyFont="1">
      <alignment horizontal="center" vertical="center"/>
    </xf>
    <xf borderId="4" fillId="3" fontId="5" numFmtId="166" xfId="0" applyBorder="1" applyFont="1" applyNumberFormat="1"/>
    <xf borderId="15" fillId="15" fontId="21" numFmtId="0" xfId="0" applyAlignment="1" applyBorder="1" applyFont="1">
      <alignment horizontal="center" vertical="center"/>
    </xf>
    <xf borderId="16" fillId="15" fontId="21" numFmtId="0" xfId="0" applyAlignment="1" applyBorder="1" applyFont="1">
      <alignment horizontal="center" vertical="center"/>
    </xf>
    <xf borderId="4" fillId="16" fontId="5" numFmtId="0" xfId="0" applyAlignment="1" applyBorder="1" applyFill="1" applyFont="1">
      <alignment vertical="bottom"/>
    </xf>
    <xf borderId="5" fillId="16" fontId="22" numFmtId="0" xfId="0" applyAlignment="1" applyBorder="1" applyFont="1">
      <alignment vertical="bottom"/>
    </xf>
    <xf borderId="4" fillId="12" fontId="20" numFmtId="164" xfId="0" applyAlignment="1" applyBorder="1" applyFont="1" applyNumberFormat="1">
      <alignment horizontal="right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center"/>
    </xf>
    <xf borderId="4" fillId="3" fontId="5" numFmtId="0" xfId="0" applyAlignment="1" applyBorder="1" applyFont="1">
      <alignment horizontal="center"/>
    </xf>
    <xf borderId="17" fillId="0" fontId="6" numFmtId="0" xfId="0" applyBorder="1" applyFont="1"/>
    <xf borderId="18" fillId="0" fontId="6" numFmtId="0" xfId="0" applyBorder="1" applyFont="1"/>
    <xf borderId="19" fillId="0" fontId="6" numFmtId="0" xfId="0" applyBorder="1" applyFont="1"/>
    <xf borderId="4" fillId="0" fontId="5" numFmtId="0" xfId="0" applyBorder="1" applyFont="1"/>
    <xf borderId="13" fillId="16" fontId="22" numFmtId="0" xfId="0" applyAlignment="1" applyBorder="1" applyFont="1">
      <alignment vertical="bottom"/>
    </xf>
    <xf borderId="20" fillId="0" fontId="23" numFmtId="0" xfId="0" applyAlignment="1" applyBorder="1" applyFont="1">
      <alignment horizontal="right" vertical="bottom"/>
    </xf>
    <xf borderId="4" fillId="5" fontId="7" numFmtId="0" xfId="0" applyBorder="1" applyFont="1"/>
    <xf borderId="4" fillId="5" fontId="5" numFmtId="164" xfId="0" applyBorder="1" applyFont="1" applyNumberFormat="1"/>
    <xf borderId="4" fillId="5" fontId="5" numFmtId="166" xfId="0" applyBorder="1" applyFont="1" applyNumberFormat="1"/>
    <xf borderId="20" fillId="3" fontId="23" numFmtId="167" xfId="0" applyAlignment="1" applyBorder="1" applyFont="1" applyNumberFormat="1">
      <alignment horizontal="right" vertical="bottom"/>
    </xf>
    <xf borderId="21" fillId="17" fontId="5" numFmtId="0" xfId="0" applyAlignment="1" applyBorder="1" applyFill="1" applyFont="1">
      <alignment horizontal="center" vertical="center"/>
    </xf>
    <xf borderId="0" fillId="17" fontId="5" numFmtId="0" xfId="0" applyAlignment="1" applyFont="1">
      <alignment horizontal="center" vertical="center"/>
    </xf>
    <xf borderId="22" fillId="17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vertical="center"/>
    </xf>
    <xf borderId="20" fillId="0" fontId="23" numFmtId="167" xfId="0" applyAlignment="1" applyBorder="1" applyFont="1" applyNumberFormat="1">
      <alignment horizontal="right" vertical="bottom"/>
    </xf>
    <xf borderId="11" fillId="3" fontId="24" numFmtId="0" xfId="0" applyAlignment="1" applyBorder="1" applyFont="1">
      <alignment horizontal="right"/>
    </xf>
    <xf borderId="21" fillId="0" fontId="6" numFmtId="0" xfId="0" applyBorder="1" applyFont="1"/>
    <xf borderId="21" fillId="0" fontId="5" numFmtId="0" xfId="0" applyAlignment="1" applyBorder="1" applyFont="1">
      <alignment horizontal="center" vertical="center"/>
    </xf>
    <xf borderId="20" fillId="16" fontId="22" numFmtId="0" xfId="0" applyAlignment="1" applyBorder="1" applyFont="1">
      <alignment vertical="bottom"/>
    </xf>
    <xf borderId="20" fillId="3" fontId="25" numFmtId="167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21" fillId="3" fontId="5" numFmtId="0" xfId="0" applyAlignment="1" applyBorder="1" applyFont="1">
      <alignment horizontal="center" vertical="center"/>
    </xf>
    <xf borderId="0" fillId="3" fontId="5" numFmtId="0" xfId="0" applyAlignment="1" applyFont="1">
      <alignment horizontal="center" vertical="center"/>
    </xf>
    <xf borderId="22" fillId="3" fontId="5" numFmtId="0" xfId="0" applyAlignment="1" applyBorder="1" applyFont="1">
      <alignment horizontal="center" vertical="center"/>
    </xf>
    <xf borderId="21" fillId="13" fontId="5" numFmtId="0" xfId="0" applyAlignment="1" applyBorder="1" applyFont="1">
      <alignment horizontal="center" vertical="center"/>
    </xf>
    <xf borderId="0" fillId="13" fontId="5" numFmtId="0" xfId="0" applyAlignment="1" applyFont="1">
      <alignment horizontal="center" vertical="center"/>
    </xf>
    <xf borderId="22" fillId="13" fontId="5" numFmtId="0" xfId="0" applyAlignment="1" applyBorder="1" applyFont="1">
      <alignment horizontal="center" vertical="center"/>
    </xf>
    <xf borderId="17" fillId="13" fontId="5" numFmtId="0" xfId="0" applyAlignment="1" applyBorder="1" applyFont="1">
      <alignment horizontal="center" vertical="center"/>
    </xf>
    <xf borderId="18" fillId="13" fontId="5" numFmtId="0" xfId="0" applyAlignment="1" applyBorder="1" applyFont="1">
      <alignment horizontal="center" vertical="center"/>
    </xf>
    <xf borderId="19" fillId="13" fontId="5" numFmtId="0" xfId="0" applyAlignment="1" applyBorder="1" applyFont="1">
      <alignment horizontal="center" vertical="center"/>
    </xf>
    <xf borderId="17" fillId="0" fontId="5" numFmtId="0" xfId="0" applyAlignment="1" applyBorder="1" applyFont="1">
      <alignment horizontal="center" vertical="center"/>
    </xf>
    <xf borderId="20" fillId="0" fontId="23" numFmtId="0" xfId="0" applyAlignment="1" applyBorder="1" applyFont="1">
      <alignment horizontal="center" vertical="center"/>
    </xf>
    <xf borderId="23" fillId="0" fontId="23" numFmtId="0" xfId="0" applyAlignment="1" applyBorder="1" applyFont="1">
      <alignment horizontal="center" vertical="center"/>
    </xf>
    <xf borderId="20" fillId="0" fontId="6" numFmtId="0" xfId="0" applyBorder="1" applyFont="1"/>
    <xf borderId="12" fillId="3" fontId="19" numFmtId="164" xfId="0" applyBorder="1" applyFont="1" applyNumberFormat="1"/>
    <xf borderId="4" fillId="3" fontId="19" numFmtId="0" xfId="0" applyBorder="1" applyFont="1"/>
    <xf borderId="4" fillId="3" fontId="20" numFmtId="164" xfId="0" applyAlignment="1" applyBorder="1" applyFont="1" applyNumberFormat="1">
      <alignment horizontal="right"/>
    </xf>
    <xf borderId="4" fillId="3" fontId="17" numFmtId="164" xfId="0" applyBorder="1" applyFont="1" applyNumberFormat="1"/>
    <xf borderId="0" fillId="9" fontId="14" numFmtId="0" xfId="0" applyAlignment="1" applyFont="1">
      <alignment horizontal="center" vertical="center"/>
    </xf>
    <xf borderId="11" fillId="5" fontId="15" numFmtId="0" xfId="0" applyAlignment="1" applyBorder="1" applyFont="1">
      <alignment horizontal="right"/>
    </xf>
    <xf borderId="12" fillId="5" fontId="26" numFmtId="0" xfId="0" applyBorder="1" applyFont="1"/>
    <xf borderId="4" fillId="9" fontId="14" numFmtId="0" xfId="0" applyAlignment="1" applyBorder="1" applyFont="1">
      <alignment horizontal="center" readingOrder="0" vertical="center"/>
    </xf>
    <xf borderId="4" fillId="9" fontId="5" numFmtId="0" xfId="0" applyAlignment="1" applyBorder="1" applyFont="1">
      <alignment horizontal="center" readingOrder="0" vertical="center"/>
    </xf>
    <xf borderId="12" fillId="5" fontId="27" numFmtId="0" xfId="0" applyAlignment="1" applyBorder="1" applyFont="1">
      <alignment readingOrder="0"/>
    </xf>
    <xf borderId="0" fillId="0" fontId="5" numFmtId="4" xfId="0" applyFont="1" applyNumberFormat="1"/>
    <xf borderId="12" fillId="5" fontId="27" numFmtId="0" xfId="0" applyBorder="1" applyFont="1"/>
    <xf borderId="11" fillId="5" fontId="24" numFmtId="0" xfId="0" applyAlignment="1" applyBorder="1" applyFont="1">
      <alignment horizontal="right"/>
    </xf>
    <xf borderId="12" fillId="5" fontId="28" numFmtId="0" xfId="0" applyBorder="1" applyFont="1"/>
    <xf borderId="0" fillId="0" fontId="5" numFmtId="0" xfId="0" applyAlignment="1" applyFont="1">
      <alignment horizontal="right"/>
    </xf>
    <xf borderId="0" fillId="0" fontId="29" numFmtId="0" xfId="0" applyFont="1"/>
    <xf borderId="6" fillId="18" fontId="30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11" fillId="9" fontId="15" numFmtId="0" xfId="0" applyAlignment="1" applyBorder="1" applyFont="1">
      <alignment horizontal="right"/>
    </xf>
    <xf borderId="12" fillId="9" fontId="26" numFmtId="0" xfId="0" applyAlignment="1" applyBorder="1" applyFont="1">
      <alignment readingOrder="0"/>
    </xf>
    <xf borderId="6" fillId="19" fontId="29" numFmtId="168" xfId="0" applyAlignment="1" applyBorder="1" applyFill="1" applyFont="1" applyNumberFormat="1">
      <alignment horizontal="center" vertical="center"/>
    </xf>
    <xf borderId="12" fillId="9" fontId="27" numFmtId="0" xfId="0" applyAlignment="1" applyBorder="1" applyFont="1">
      <alignment readingOrder="0"/>
    </xf>
    <xf borderId="0" fillId="20" fontId="31" numFmtId="0" xfId="0" applyAlignment="1" applyFill="1" applyFont="1">
      <alignment horizontal="center" vertical="center"/>
    </xf>
    <xf borderId="6" fillId="21" fontId="29" numFmtId="168" xfId="0" applyAlignment="1" applyBorder="1" applyFill="1" applyFont="1" applyNumberFormat="1">
      <alignment horizontal="center" vertical="center"/>
    </xf>
    <xf borderId="4" fillId="9" fontId="14" numFmtId="0" xfId="0" applyAlignment="1" applyBorder="1" applyFont="1">
      <alignment horizontal="center" vertical="center"/>
    </xf>
    <xf borderId="4" fillId="9" fontId="5" numFmtId="0" xfId="0" applyAlignment="1" applyBorder="1" applyFont="1">
      <alignment horizontal="center" vertical="center"/>
    </xf>
    <xf borderId="11" fillId="0" fontId="15" numFmtId="0" xfId="0" applyAlignment="1" applyBorder="1" applyFont="1">
      <alignment horizontal="right" vertical="center"/>
    </xf>
    <xf borderId="12" fillId="0" fontId="28" numFmtId="0" xfId="0" applyAlignment="1" applyBorder="1" applyFont="1">
      <alignment readingOrder="0"/>
    </xf>
    <xf borderId="4" fillId="20" fontId="31" numFmtId="0" xfId="0" applyAlignment="1" applyBorder="1" applyFont="1">
      <alignment horizontal="center" vertical="center"/>
    </xf>
    <xf borderId="0" fillId="18" fontId="30" numFmtId="0" xfId="0" applyAlignment="1" applyFont="1">
      <alignment horizontal="center" vertical="center"/>
    </xf>
    <xf borderId="24" fillId="9" fontId="14" numFmtId="0" xfId="0" applyAlignment="1" applyBorder="1" applyFont="1">
      <alignment horizontal="center" vertical="center"/>
    </xf>
    <xf borderId="25" fillId="9" fontId="15" numFmtId="0" xfId="0" applyAlignment="1" applyBorder="1" applyFont="1">
      <alignment horizontal="right"/>
    </xf>
    <xf borderId="26" fillId="9" fontId="27" numFmtId="169" xfId="0" applyBorder="1" applyFont="1" applyNumberFormat="1"/>
    <xf borderId="4" fillId="22" fontId="32" numFmtId="0" xfId="0" applyAlignment="1" applyBorder="1" applyFill="1" applyFont="1">
      <alignment horizontal="center" vertical="center"/>
    </xf>
    <xf borderId="4" fillId="23" fontId="5" numFmtId="164" xfId="0" applyAlignment="1" applyBorder="1" applyFill="1" applyFont="1" applyNumberFormat="1">
      <alignment horizontal="center" readingOrder="0" vertical="center"/>
    </xf>
    <xf borderId="10" fillId="18" fontId="22" numFmtId="0" xfId="0" applyAlignment="1" applyBorder="1" applyFont="1">
      <alignment horizontal="center" vertical="center"/>
    </xf>
    <xf borderId="4" fillId="18" fontId="31" numFmtId="0" xfId="0" applyAlignment="1" applyBorder="1" applyFont="1">
      <alignment horizontal="center" vertical="center"/>
    </xf>
    <xf borderId="27" fillId="0" fontId="6" numFmtId="0" xfId="0" applyBorder="1" applyFont="1"/>
    <xf borderId="4" fillId="23" fontId="5" numFmtId="164" xfId="0" applyAlignment="1" applyBorder="1" applyFont="1" applyNumberFormat="1">
      <alignment horizontal="center" vertical="center"/>
    </xf>
    <xf borderId="10" fillId="22" fontId="32" numFmtId="0" xfId="0" applyAlignment="1" applyBorder="1" applyFont="1">
      <alignment horizontal="center" vertical="center"/>
    </xf>
    <xf borderId="14" fillId="13" fontId="33" numFmtId="0" xfId="0" applyAlignment="1" applyBorder="1" applyFont="1">
      <alignment horizontal="center" vertical="center"/>
    </xf>
    <xf borderId="28" fillId="3" fontId="34" numFmtId="164" xfId="0" applyAlignment="1" applyBorder="1" applyFont="1" applyNumberFormat="1">
      <alignment horizontal="center" vertical="center"/>
    </xf>
    <xf borderId="16" fillId="0" fontId="6" numFmtId="0" xfId="0" applyBorder="1" applyFont="1"/>
    <xf borderId="1" fillId="2" fontId="35" numFmtId="164" xfId="0" applyAlignment="1" applyBorder="1" applyFont="1" applyNumberFormat="1">
      <alignment horizontal="center" vertical="center"/>
    </xf>
    <xf borderId="2" fillId="2" fontId="35" numFmtId="0" xfId="0" applyAlignment="1" applyBorder="1" applyFont="1">
      <alignment horizontal="center" vertical="center"/>
    </xf>
    <xf borderId="24" fillId="24" fontId="7" numFmtId="0" xfId="0" applyAlignment="1" applyBorder="1" applyFill="1" applyFont="1">
      <alignment horizontal="center" vertical="center"/>
    </xf>
    <xf borderId="29" fillId="0" fontId="6" numFmtId="0" xfId="0" applyBorder="1" applyFont="1"/>
    <xf borderId="9" fillId="24" fontId="36" numFmtId="4" xfId="0" applyAlignment="1" applyBorder="1" applyFont="1" applyNumberFormat="1">
      <alignment horizontal="center" vertical="center"/>
    </xf>
    <xf borderId="1" fillId="12" fontId="14" numFmtId="0" xfId="0" applyBorder="1" applyFont="1"/>
    <xf borderId="6" fillId="12" fontId="37" numFmtId="0" xfId="0" applyAlignment="1" applyBorder="1" applyFont="1">
      <alignment horizontal="center" vertical="center"/>
    </xf>
    <xf borderId="3" fillId="3" fontId="38" numFmtId="0" xfId="0" applyAlignment="1" applyBorder="1" applyFont="1">
      <alignment horizontal="center" vertical="center"/>
    </xf>
    <xf borderId="6" fillId="3" fontId="39" numFmtId="166" xfId="0" applyAlignment="1" applyBorder="1" applyFont="1" applyNumberFormat="1">
      <alignment horizontal="center" vertical="center"/>
    </xf>
    <xf borderId="10" fillId="24" fontId="40" numFmtId="0" xfId="0" applyBorder="1" applyFont="1"/>
    <xf borderId="5" fillId="24" fontId="40" numFmtId="0" xfId="0" applyBorder="1" applyFont="1"/>
    <xf borderId="6" fillId="12" fontId="41" numFmtId="0" xfId="0" applyAlignment="1" applyBorder="1" applyFont="1">
      <alignment horizontal="center" vertical="center"/>
    </xf>
    <xf borderId="3" fillId="3" fontId="14" numFmtId="0" xfId="0" applyAlignment="1" applyBorder="1" applyFont="1">
      <alignment horizontal="center" vertical="center"/>
    </xf>
    <xf borderId="6" fillId="3" fontId="37" numFmtId="166" xfId="0" applyAlignment="1" applyBorder="1" applyFont="1" applyNumberFormat="1">
      <alignment horizontal="center" vertical="center"/>
    </xf>
    <xf borderId="10" fillId="0" fontId="5" numFmtId="0" xfId="0" applyBorder="1" applyFont="1"/>
    <xf borderId="4" fillId="0" fontId="5" numFmtId="0" xfId="0" applyAlignment="1" applyBorder="1" applyFont="1">
      <alignment readingOrder="0"/>
    </xf>
    <xf borderId="6" fillId="13" fontId="17" numFmtId="0" xfId="0" applyAlignment="1" applyBorder="1" applyFont="1">
      <alignment horizontal="center"/>
    </xf>
    <xf borderId="1" fillId="0" fontId="42" numFmtId="0" xfId="0" applyAlignment="1" applyBorder="1" applyFont="1">
      <alignment horizontal="center" vertical="center"/>
    </xf>
    <xf borderId="6" fillId="3" fontId="37" numFmtId="164" xfId="0" applyAlignment="1" applyBorder="1" applyFont="1" applyNumberFormat="1">
      <alignment horizontal="center" vertical="center"/>
    </xf>
    <xf borderId="6" fillId="13" fontId="33" numFmtId="0" xfId="0" applyAlignment="1" applyBorder="1" applyFont="1">
      <alignment horizontal="center" vertical="center"/>
    </xf>
    <xf borderId="6" fillId="3" fontId="37" numFmtId="0" xfId="0" applyAlignment="1" applyBorder="1" applyFont="1">
      <alignment horizontal="center" vertical="center"/>
    </xf>
    <xf borderId="4" fillId="25" fontId="43" numFmtId="0" xfId="0" applyAlignment="1" applyBorder="1" applyFill="1" applyFont="1">
      <alignment horizontal="center" vertical="center"/>
    </xf>
    <xf borderId="4" fillId="25" fontId="44" numFmtId="164" xfId="0" applyAlignment="1" applyBorder="1" applyFont="1" applyNumberFormat="1">
      <alignment horizontal="center" vertical="center"/>
    </xf>
    <xf borderId="10" fillId="25" fontId="43" numFmtId="0" xfId="0" applyAlignment="1" applyBorder="1" applyFont="1">
      <alignment horizontal="center" vertical="center"/>
    </xf>
    <xf borderId="1" fillId="0" fontId="42" numFmtId="2" xfId="0" applyAlignment="1" applyBorder="1" applyFont="1" applyNumberFormat="1">
      <alignment horizontal="center" vertical="center"/>
    </xf>
    <xf borderId="6" fillId="3" fontId="37" numFmtId="2" xfId="0" applyAlignment="1" applyBorder="1" applyFont="1" applyNumberFormat="1">
      <alignment horizontal="center" vertical="center"/>
    </xf>
    <xf borderId="0" fillId="0" fontId="14" numFmtId="4" xfId="0" applyFont="1" applyNumberFormat="1"/>
    <xf borderId="4" fillId="3" fontId="43" numFmtId="0" xfId="0" applyAlignment="1" applyBorder="1" applyFont="1">
      <alignment horizontal="center" vertical="center"/>
    </xf>
    <xf borderId="10" fillId="3" fontId="20" numFmtId="164" xfId="0" applyAlignment="1" applyBorder="1" applyFont="1" applyNumberFormat="1">
      <alignment horizontal="center" vertical="center"/>
    </xf>
    <xf borderId="10" fillId="3" fontId="43" numFmtId="0" xfId="0" applyAlignment="1" applyBorder="1" applyFont="1">
      <alignment horizontal="center" vertical="center"/>
    </xf>
    <xf borderId="30" fillId="0" fontId="6" numFmtId="0" xfId="0" applyBorder="1" applyFont="1"/>
    <xf borderId="1" fillId="0" fontId="45" numFmtId="0" xfId="0" applyAlignment="1" applyBorder="1" applyFont="1">
      <alignment horizontal="center" vertical="center"/>
    </xf>
    <xf borderId="1" fillId="0" fontId="42" numFmtId="169" xfId="0" applyAlignment="1" applyBorder="1" applyFont="1" applyNumberFormat="1">
      <alignment horizontal="center" vertical="center"/>
    </xf>
    <xf borderId="10" fillId="3" fontId="46" numFmtId="0" xfId="0" applyAlignment="1" applyBorder="1" applyFont="1">
      <alignment horizontal="right" vertical="center"/>
    </xf>
    <xf borderId="4" fillId="3" fontId="28" numFmtId="164" xfId="0" applyAlignment="1" applyBorder="1" applyFont="1" applyNumberFormat="1">
      <alignment horizontal="center" vertical="center"/>
    </xf>
    <xf borderId="13" fillId="0" fontId="14" numFmtId="4" xfId="0" applyAlignment="1" applyBorder="1" applyFont="1" applyNumberFormat="1">
      <alignment horizontal="center" vertical="center"/>
    </xf>
    <xf borderId="13" fillId="0" fontId="14" numFmtId="0" xfId="0" applyAlignment="1" applyBorder="1" applyFont="1">
      <alignment horizontal="center" vertical="center"/>
    </xf>
    <xf borderId="20" fillId="0" fontId="14" numFmtId="0" xfId="0" applyAlignment="1" applyBorder="1" applyFont="1">
      <alignment horizontal="center" vertical="center"/>
    </xf>
    <xf borderId="20" fillId="12" fontId="14" numFmtId="0" xfId="0" applyAlignment="1" applyBorder="1" applyFont="1">
      <alignment horizontal="center" vertical="center"/>
    </xf>
    <xf borderId="20" fillId="0" fontId="14" numFmtId="0" xfId="0" applyAlignment="1" applyBorder="1" applyFont="1">
      <alignment horizontal="center" shrinkToFit="0" vertical="center" wrapText="1"/>
    </xf>
    <xf borderId="20" fillId="0" fontId="14" numFmtId="4" xfId="0" applyAlignment="1" applyBorder="1" applyFont="1" applyNumberFormat="1">
      <alignment horizontal="center" shrinkToFit="0" vertical="center" wrapText="1"/>
    </xf>
    <xf borderId="5" fillId="0" fontId="14" numFmtId="0" xfId="0" applyAlignment="1" applyBorder="1" applyFont="1">
      <alignment horizontal="center" vertical="center"/>
    </xf>
    <xf borderId="14" fillId="10" fontId="47" numFmtId="0" xfId="0" applyAlignment="1" applyBorder="1" applyFont="1">
      <alignment horizontal="center" vertical="center"/>
    </xf>
    <xf borderId="31" fillId="10" fontId="5" numFmtId="0" xfId="0" applyAlignment="1" applyBorder="1" applyFont="1">
      <alignment horizontal="center" vertical="center"/>
    </xf>
    <xf borderId="32" fillId="10" fontId="5" numFmtId="0" xfId="0" applyAlignment="1" applyBorder="1" applyFont="1">
      <alignment horizontal="center" vertical="center"/>
    </xf>
    <xf borderId="33" fillId="12" fontId="2" numFmtId="164" xfId="0" applyAlignment="1" applyBorder="1" applyFont="1" applyNumberFormat="1">
      <alignment horizontal="center" vertical="center"/>
    </xf>
    <xf borderId="20" fillId="0" fontId="14" numFmtId="4" xfId="0" applyAlignment="1" applyBorder="1" applyFont="1" applyNumberFormat="1">
      <alignment horizontal="center"/>
    </xf>
    <xf borderId="13" fillId="0" fontId="14" numFmtId="0" xfId="0" applyAlignment="1" applyBorder="1" applyFont="1">
      <alignment horizontal="center"/>
    </xf>
    <xf borderId="20" fillId="0" fontId="14" numFmtId="170" xfId="0" applyAlignment="1" applyBorder="1" applyFont="1" applyNumberFormat="1">
      <alignment horizontal="center"/>
    </xf>
    <xf borderId="20" fillId="0" fontId="14" numFmtId="168" xfId="0" applyAlignment="1" applyBorder="1" applyFont="1" applyNumberFormat="1">
      <alignment horizontal="right"/>
    </xf>
    <xf borderId="4" fillId="8" fontId="48" numFmtId="20" xfId="0" applyAlignment="1" applyBorder="1" applyFont="1" applyNumberFormat="1">
      <alignment horizontal="right" readingOrder="0" vertical="bottom"/>
    </xf>
    <xf borderId="5" fillId="8" fontId="48" numFmtId="20" xfId="0" applyAlignment="1" applyBorder="1" applyFont="1" applyNumberFormat="1">
      <alignment horizontal="right" readingOrder="0" vertical="bottom"/>
    </xf>
    <xf borderId="20" fillId="0" fontId="14" numFmtId="46" xfId="0" applyBorder="1" applyFont="1" applyNumberFormat="1"/>
    <xf borderId="20" fillId="0" fontId="14" numFmtId="165" xfId="0" applyBorder="1" applyFont="1" applyNumberFormat="1"/>
    <xf borderId="20" fillId="0" fontId="14" numFmtId="166" xfId="0" applyBorder="1" applyFont="1" applyNumberFormat="1"/>
    <xf borderId="20" fillId="0" fontId="14" numFmtId="0" xfId="0" applyBorder="1" applyFont="1"/>
    <xf borderId="20" fillId="0" fontId="48" numFmtId="0" xfId="0" applyBorder="1" applyFont="1"/>
    <xf borderId="10" fillId="2" fontId="49" numFmtId="0" xfId="0" applyAlignment="1" applyBorder="1" applyFont="1">
      <alignment horizontal="center" vertical="center"/>
    </xf>
    <xf borderId="5" fillId="10" fontId="5" numFmtId="0" xfId="0" applyAlignment="1" applyBorder="1" applyFont="1">
      <alignment horizontal="center" vertical="center"/>
    </xf>
    <xf borderId="4" fillId="10" fontId="5" numFmtId="0" xfId="0" applyAlignment="1" applyBorder="1" applyFont="1">
      <alignment horizontal="center" vertical="center"/>
    </xf>
    <xf borderId="34" fillId="0" fontId="6" numFmtId="0" xfId="0" applyBorder="1" applyFont="1"/>
    <xf borderId="4" fillId="19" fontId="33" numFmtId="0" xfId="0" applyBorder="1" applyFont="1"/>
    <xf borderId="30" fillId="19" fontId="33" numFmtId="0" xfId="0" applyBorder="1" applyFont="1"/>
    <xf borderId="5" fillId="19" fontId="33" numFmtId="4" xfId="0" applyBorder="1" applyFont="1" applyNumberFormat="1"/>
    <xf borderId="4" fillId="0" fontId="48" numFmtId="171" xfId="0" applyAlignment="1" applyBorder="1" applyFont="1" applyNumberFormat="1">
      <alignment horizontal="right" vertical="bottom"/>
    </xf>
    <xf borderId="30" fillId="0" fontId="48" numFmtId="0" xfId="0" applyAlignment="1" applyBorder="1" applyFont="1">
      <alignment vertical="bottom"/>
    </xf>
    <xf borderId="5" fillId="0" fontId="48" numFmtId="4" xfId="0" applyAlignment="1" applyBorder="1" applyFont="1" applyNumberFormat="1">
      <alignment horizontal="right" readingOrder="0" vertical="bottom"/>
    </xf>
    <xf borderId="13" fillId="0" fontId="48" numFmtId="171" xfId="0" applyAlignment="1" applyBorder="1" applyFont="1" applyNumberFormat="1">
      <alignment horizontal="right" vertical="bottom"/>
    </xf>
    <xf borderId="35" fillId="0" fontId="48" numFmtId="0" xfId="0" applyAlignment="1" applyBorder="1" applyFont="1">
      <alignment vertical="bottom"/>
    </xf>
    <xf borderId="20" fillId="0" fontId="48" numFmtId="4" xfId="0" applyAlignment="1" applyBorder="1" applyFont="1" applyNumberFormat="1">
      <alignment horizontal="right" readingOrder="0" vertical="bottom"/>
    </xf>
    <xf borderId="13" fillId="0" fontId="48" numFmtId="172" xfId="0" applyAlignment="1" applyBorder="1" applyFont="1" applyNumberFormat="1">
      <alignment horizontal="right" vertical="bottom"/>
    </xf>
    <xf borderId="36" fillId="10" fontId="5" numFmtId="0" xfId="0" applyAlignment="1" applyBorder="1" applyFont="1">
      <alignment horizontal="center" vertical="center"/>
    </xf>
    <xf borderId="37" fillId="10" fontId="5" numFmtId="0" xfId="0" applyAlignment="1" applyBorder="1" applyFont="1">
      <alignment horizontal="center" vertical="center"/>
    </xf>
    <xf borderId="38" fillId="0" fontId="6" numFmtId="0" xfId="0" applyBorder="1" applyFont="1"/>
    <xf borderId="13" fillId="19" fontId="14" numFmtId="171" xfId="0" applyBorder="1" applyFont="1" applyNumberFormat="1"/>
    <xf borderId="30" fillId="19" fontId="14" numFmtId="0" xfId="0" applyBorder="1" applyFont="1"/>
    <xf borderId="20" fillId="19" fontId="14" numFmtId="164" xfId="0" applyAlignment="1" applyBorder="1" applyFont="1" applyNumberFormat="1">
      <alignment readingOrder="0"/>
    </xf>
    <xf borderId="14" fillId="26" fontId="47" numFmtId="0" xfId="0" applyAlignment="1" applyBorder="1" applyFill="1" applyFont="1">
      <alignment horizontal="center" vertical="center"/>
    </xf>
    <xf borderId="31" fillId="26" fontId="5" numFmtId="0" xfId="0" applyAlignment="1" applyBorder="1" applyFont="1">
      <alignment horizontal="center" vertical="center"/>
    </xf>
    <xf borderId="32" fillId="26" fontId="5" numFmtId="0" xfId="0" applyAlignment="1" applyBorder="1" applyFont="1">
      <alignment horizontal="center" vertical="center"/>
    </xf>
    <xf borderId="13" fillId="8" fontId="48" numFmtId="20" xfId="0" applyAlignment="1" applyBorder="1" applyFont="1" applyNumberFormat="1">
      <alignment horizontal="right" vertical="bottom"/>
    </xf>
    <xf borderId="20" fillId="8" fontId="48" numFmtId="20" xfId="0" applyAlignment="1" applyBorder="1" applyFont="1" applyNumberFormat="1">
      <alignment horizontal="right" vertical="bottom"/>
    </xf>
    <xf borderId="20" fillId="19" fontId="14" numFmtId="164" xfId="0" applyBorder="1" applyFont="1" applyNumberFormat="1"/>
    <xf borderId="5" fillId="26" fontId="5" numFmtId="0" xfId="0" applyAlignment="1" applyBorder="1" applyFont="1">
      <alignment horizontal="center" vertical="center"/>
    </xf>
    <xf borderId="4" fillId="26" fontId="5" numFmtId="0" xfId="0" applyAlignment="1" applyBorder="1" applyFont="1">
      <alignment horizontal="center" vertical="center"/>
    </xf>
    <xf borderId="13" fillId="19" fontId="14" numFmtId="172" xfId="0" applyBorder="1" applyFont="1" applyNumberFormat="1"/>
    <xf borderId="4" fillId="26" fontId="50" numFmtId="0" xfId="0" applyAlignment="1" applyBorder="1" applyFont="1">
      <alignment horizontal="center" vertical="center"/>
    </xf>
    <xf borderId="5" fillId="8" fontId="48" numFmtId="20" xfId="0" applyAlignment="1" applyBorder="1" applyFont="1" applyNumberFormat="1">
      <alignment horizontal="right" vertical="bottom"/>
    </xf>
    <xf borderId="36" fillId="26" fontId="5" numFmtId="0" xfId="0" applyAlignment="1" applyBorder="1" applyFont="1">
      <alignment horizontal="center" vertical="center"/>
    </xf>
    <xf borderId="37" fillId="26" fontId="5" numFmtId="0" xfId="0" applyAlignment="1" applyBorder="1" applyFont="1">
      <alignment horizontal="center" vertical="center"/>
    </xf>
    <xf borderId="37" fillId="26" fontId="50" numFmtId="0" xfId="0" applyAlignment="1" applyBorder="1" applyFont="1">
      <alignment horizontal="center" vertical="center"/>
    </xf>
    <xf borderId="14" fillId="27" fontId="47" numFmtId="0" xfId="0" applyAlignment="1" applyBorder="1" applyFill="1" applyFont="1">
      <alignment horizontal="center" vertical="center"/>
    </xf>
    <xf borderId="31" fillId="27" fontId="5" numFmtId="0" xfId="0" applyAlignment="1" applyBorder="1" applyFont="1">
      <alignment horizontal="center" readingOrder="0" vertical="center"/>
    </xf>
    <xf borderId="32" fillId="27" fontId="5" numFmtId="0" xfId="0" applyAlignment="1" applyBorder="1" applyFont="1">
      <alignment horizontal="center" vertical="center"/>
    </xf>
    <xf borderId="5" fillId="27" fontId="5" numFmtId="0" xfId="0" applyAlignment="1" applyBorder="1" applyFont="1">
      <alignment horizontal="center" readingOrder="0" vertical="center"/>
    </xf>
    <xf borderId="4" fillId="27" fontId="5" numFmtId="0" xfId="0" applyAlignment="1" applyBorder="1" applyFont="1">
      <alignment horizontal="center" vertical="center"/>
    </xf>
    <xf borderId="5" fillId="27" fontId="5" numFmtId="0" xfId="0" applyAlignment="1" applyBorder="1" applyFont="1">
      <alignment horizontal="center" vertical="center"/>
    </xf>
    <xf borderId="4" fillId="19" fontId="5" numFmtId="0" xfId="0" applyBorder="1" applyFont="1"/>
    <xf borderId="4" fillId="19" fontId="5" numFmtId="164" xfId="0" applyBorder="1" applyFont="1" applyNumberFormat="1"/>
    <xf borderId="36" fillId="27" fontId="5" numFmtId="0" xfId="0" applyAlignment="1" applyBorder="1" applyFont="1">
      <alignment horizontal="center" vertical="center"/>
    </xf>
    <xf borderId="37" fillId="27" fontId="5" numFmtId="0" xfId="0" applyAlignment="1" applyBorder="1" applyFont="1">
      <alignment horizontal="center" vertical="center"/>
    </xf>
    <xf borderId="4" fillId="19" fontId="14" numFmtId="0" xfId="0" applyBorder="1" applyFont="1"/>
    <xf borderId="14" fillId="28" fontId="47" numFmtId="0" xfId="0" applyAlignment="1" applyBorder="1" applyFill="1" applyFont="1">
      <alignment horizontal="center" vertical="center"/>
    </xf>
    <xf borderId="31" fillId="28" fontId="5" numFmtId="0" xfId="0" applyAlignment="1" applyBorder="1" applyFont="1">
      <alignment horizontal="center" vertical="center"/>
    </xf>
    <xf borderId="32" fillId="28" fontId="5" numFmtId="0" xfId="0" applyAlignment="1" applyBorder="1" applyFont="1">
      <alignment horizontal="center" vertical="center"/>
    </xf>
    <xf borderId="4" fillId="23" fontId="51" numFmtId="0" xfId="0" applyAlignment="1" applyBorder="1" applyFont="1">
      <alignment horizontal="center" vertical="center"/>
    </xf>
    <xf borderId="4" fillId="23" fontId="19" numFmtId="0" xfId="0" applyAlignment="1" applyBorder="1" applyFont="1">
      <alignment horizontal="center" vertical="center"/>
    </xf>
    <xf borderId="5" fillId="28" fontId="5" numFmtId="0" xfId="0" applyAlignment="1" applyBorder="1" applyFont="1">
      <alignment horizontal="center" vertical="center"/>
    </xf>
    <xf borderId="4" fillId="28" fontId="5" numFmtId="0" xfId="0" applyAlignment="1" applyBorder="1" applyFont="1">
      <alignment horizontal="center" vertical="center"/>
    </xf>
    <xf borderId="4" fillId="23" fontId="14" numFmtId="0" xfId="0" applyAlignment="1" applyBorder="1" applyFont="1">
      <alignment horizontal="center" vertical="center"/>
    </xf>
    <xf borderId="4" fillId="23" fontId="11" numFmtId="0" xfId="0" applyAlignment="1" applyBorder="1" applyFont="1">
      <alignment horizontal="center" vertical="center"/>
    </xf>
    <xf borderId="4" fillId="23" fontId="11" numFmtId="164" xfId="0" applyAlignment="1" applyBorder="1" applyFont="1" applyNumberFormat="1">
      <alignment horizontal="center" vertical="center"/>
    </xf>
    <xf borderId="39" fillId="8" fontId="48" numFmtId="20" xfId="0" applyAlignment="1" applyBorder="1" applyFont="1" applyNumberFormat="1">
      <alignment horizontal="right" vertical="bottom"/>
    </xf>
    <xf borderId="36" fillId="28" fontId="5" numFmtId="0" xfId="0" applyAlignment="1" applyBorder="1" applyFont="1">
      <alignment horizontal="center" vertical="center"/>
    </xf>
    <xf borderId="37" fillId="28" fontId="5" numFmtId="0" xfId="0" applyAlignment="1" applyBorder="1" applyFont="1">
      <alignment horizontal="center" vertical="center"/>
    </xf>
    <xf borderId="1" fillId="13" fontId="46" numFmtId="0" xfId="0" applyAlignment="1" applyBorder="1" applyFont="1">
      <alignment horizontal="center" vertical="center"/>
    </xf>
    <xf borderId="14" fillId="29" fontId="47" numFmtId="0" xfId="0" applyAlignment="1" applyBorder="1" applyFill="1" applyFont="1">
      <alignment horizontal="center" vertical="center"/>
    </xf>
    <xf borderId="31" fillId="29" fontId="5" numFmtId="0" xfId="0" applyAlignment="1" applyBorder="1" applyFont="1">
      <alignment horizontal="center" readingOrder="0" vertical="center"/>
    </xf>
    <xf borderId="32" fillId="29" fontId="5" numFmtId="0" xfId="0" applyAlignment="1" applyBorder="1" applyFont="1">
      <alignment horizontal="center" vertical="center"/>
    </xf>
    <xf borderId="40" fillId="0" fontId="14" numFmtId="0" xfId="0" applyAlignment="1" applyBorder="1" applyFont="1">
      <alignment horizontal="center"/>
    </xf>
    <xf borderId="13" fillId="13" fontId="34" numFmtId="0" xfId="0" applyAlignment="1" applyBorder="1" applyFont="1">
      <alignment horizontal="left"/>
    </xf>
    <xf borderId="13" fillId="13" fontId="38" numFmtId="0" xfId="0" applyBorder="1" applyFont="1"/>
    <xf borderId="13" fillId="13" fontId="51" numFmtId="4" xfId="0" applyAlignment="1" applyBorder="1" applyFont="1" applyNumberFormat="1">
      <alignment horizontal="right"/>
    </xf>
    <xf borderId="5" fillId="29" fontId="5" numFmtId="0" xfId="0" applyAlignment="1" applyBorder="1" applyFont="1">
      <alignment horizontal="center" readingOrder="0" vertical="center"/>
    </xf>
    <xf borderId="4" fillId="29" fontId="5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/>
    </xf>
    <xf borderId="23" fillId="0" fontId="48" numFmtId="0" xfId="0" applyBorder="1" applyFont="1"/>
    <xf borderId="4" fillId="13" fontId="14" numFmtId="0" xfId="0" applyAlignment="1" applyBorder="1" applyFont="1">
      <alignment horizontal="left"/>
    </xf>
    <xf borderId="4" fillId="13" fontId="38" numFmtId="164" xfId="0" applyBorder="1" applyFont="1" applyNumberFormat="1"/>
    <xf borderId="4" fillId="13" fontId="14" numFmtId="4" xfId="0" applyAlignment="1" applyBorder="1" applyFont="1" applyNumberFormat="1">
      <alignment horizontal="right"/>
    </xf>
    <xf borderId="41" fillId="9" fontId="14" numFmtId="0" xfId="0" applyAlignment="1" applyBorder="1" applyFont="1">
      <alignment horizontal="center"/>
    </xf>
    <xf borderId="35" fillId="0" fontId="14" numFmtId="0" xfId="0" applyBorder="1" applyFont="1"/>
    <xf borderId="4" fillId="0" fontId="48" numFmtId="0" xfId="0" applyBorder="1" applyFont="1"/>
    <xf borderId="4" fillId="13" fontId="38" numFmtId="0" xfId="0" applyBorder="1" applyFont="1"/>
    <xf borderId="42" fillId="13" fontId="14" numFmtId="0" xfId="0" applyAlignment="1" applyBorder="1" applyFont="1">
      <alignment horizontal="left"/>
    </xf>
    <xf borderId="42" fillId="13" fontId="38" numFmtId="169" xfId="0" applyBorder="1" applyFont="1" applyNumberFormat="1"/>
    <xf borderId="42" fillId="13" fontId="14" numFmtId="4" xfId="0" applyAlignment="1" applyBorder="1" applyFont="1" applyNumberFormat="1">
      <alignment horizontal="right"/>
    </xf>
    <xf borderId="4" fillId="13" fontId="5" numFmtId="0" xfId="0" applyBorder="1" applyFont="1"/>
    <xf borderId="4" fillId="13" fontId="5" numFmtId="4" xfId="0" applyBorder="1" applyFont="1" applyNumberFormat="1"/>
    <xf borderId="4" fillId="13" fontId="5" numFmtId="164" xfId="0" applyBorder="1" applyFont="1" applyNumberFormat="1"/>
    <xf borderId="36" fillId="29" fontId="5" numFmtId="0" xfId="0" applyAlignment="1" applyBorder="1" applyFont="1">
      <alignment horizontal="center" vertical="center"/>
    </xf>
    <xf borderId="37" fillId="29" fontId="5" numFmtId="0" xfId="0" applyAlignment="1" applyBorder="1" applyFont="1">
      <alignment horizontal="center" vertical="center"/>
    </xf>
    <xf borderId="27" fillId="0" fontId="14" numFmtId="0" xfId="0" applyBorder="1" applyFont="1"/>
    <xf borderId="4" fillId="0" fontId="14" numFmtId="0" xfId="0" applyBorder="1" applyFont="1"/>
    <xf borderId="14" fillId="30" fontId="47" numFmtId="0" xfId="0" applyAlignment="1" applyBorder="1" applyFill="1" applyFont="1">
      <alignment horizontal="center" vertical="center"/>
    </xf>
    <xf borderId="31" fillId="30" fontId="5" numFmtId="0" xfId="0" applyAlignment="1" applyBorder="1" applyFont="1">
      <alignment horizontal="center" vertical="center"/>
    </xf>
    <xf borderId="32" fillId="30" fontId="5" numFmtId="0" xfId="0" applyAlignment="1" applyBorder="1" applyFont="1">
      <alignment horizontal="center" vertical="center"/>
    </xf>
    <xf borderId="4" fillId="31" fontId="14" numFmtId="0" xfId="0" applyAlignment="1" applyBorder="1" applyFill="1" applyFont="1">
      <alignment horizontal="center"/>
    </xf>
    <xf borderId="4" fillId="0" fontId="14" numFmtId="170" xfId="0" applyAlignment="1" applyBorder="1" applyFont="1" applyNumberFormat="1">
      <alignment horizontal="center"/>
    </xf>
    <xf borderId="9" fillId="0" fontId="14" numFmtId="46" xfId="0" applyBorder="1" applyFont="1" applyNumberFormat="1"/>
    <xf borderId="9" fillId="0" fontId="14" numFmtId="166" xfId="0" applyBorder="1" applyFont="1" applyNumberFormat="1"/>
    <xf borderId="4" fillId="31" fontId="14" numFmtId="0" xfId="0" applyBorder="1" applyFont="1"/>
    <xf borderId="4" fillId="31" fontId="48" numFmtId="0" xfId="0" applyBorder="1" applyFont="1"/>
    <xf borderId="9" fillId="13" fontId="52" numFmtId="0" xfId="0" applyAlignment="1" applyBorder="1" applyFont="1">
      <alignment horizontal="right"/>
    </xf>
    <xf borderId="9" fillId="13" fontId="53" numFmtId="0" xfId="0" applyBorder="1" applyFont="1"/>
    <xf borderId="9" fillId="13" fontId="52" numFmtId="4" xfId="0" applyAlignment="1" applyBorder="1" applyFont="1" applyNumberFormat="1">
      <alignment horizontal="right"/>
    </xf>
    <xf borderId="5" fillId="30" fontId="5" numFmtId="0" xfId="0" applyAlignment="1" applyBorder="1" applyFont="1">
      <alignment horizontal="center" vertical="center"/>
    </xf>
    <xf borderId="4" fillId="30" fontId="5" numFmtId="0" xfId="0" applyAlignment="1" applyBorder="1" applyFont="1">
      <alignment horizontal="center" vertical="center"/>
    </xf>
    <xf borderId="0" fillId="31" fontId="14" numFmtId="0" xfId="0" applyFont="1"/>
    <xf borderId="0" fillId="0" fontId="53" numFmtId="0" xfId="0" applyFont="1"/>
    <xf borderId="6" fillId="0" fontId="17" numFmtId="0" xfId="0" applyAlignment="1" applyBorder="1" applyFont="1">
      <alignment vertical="bottom"/>
    </xf>
    <xf borderId="6" fillId="0" fontId="54" numFmtId="4" xfId="0" applyBorder="1" applyFont="1" applyNumberFormat="1"/>
    <xf borderId="6" fillId="9" fontId="55" numFmtId="4" xfId="0" applyAlignment="1" applyBorder="1" applyFont="1" applyNumberFormat="1">
      <alignment horizontal="center" vertical="bottom"/>
    </xf>
    <xf borderId="6" fillId="9" fontId="55" numFmtId="0" xfId="0" applyAlignment="1" applyBorder="1" applyFont="1">
      <alignment horizontal="center" vertical="bottom"/>
    </xf>
    <xf borderId="6" fillId="31" fontId="54" numFmtId="164" xfId="0" applyBorder="1" applyFont="1" applyNumberFormat="1"/>
    <xf borderId="1" fillId="6" fontId="46" numFmtId="0" xfId="0" applyAlignment="1" applyBorder="1" applyFont="1">
      <alignment horizontal="center"/>
    </xf>
    <xf borderId="13" fillId="25" fontId="14" numFmtId="0" xfId="0" applyAlignment="1" applyBorder="1" applyFont="1">
      <alignment horizontal="left"/>
    </xf>
    <xf borderId="13" fillId="25" fontId="53" numFmtId="0" xfId="0" applyBorder="1" applyFont="1"/>
    <xf borderId="13" fillId="25" fontId="14" numFmtId="4" xfId="0" applyAlignment="1" applyBorder="1" applyFont="1" applyNumberFormat="1">
      <alignment horizontal="right"/>
    </xf>
    <xf borderId="6" fillId="0" fontId="55" numFmtId="0" xfId="0" applyAlignment="1" applyBorder="1" applyFont="1">
      <alignment vertical="bottom"/>
    </xf>
    <xf borderId="6" fillId="0" fontId="25" numFmtId="4" xfId="0" applyBorder="1" applyFont="1" applyNumberFormat="1"/>
    <xf borderId="6" fillId="0" fontId="25" numFmtId="164" xfId="0" applyBorder="1" applyFont="1" applyNumberFormat="1"/>
    <xf borderId="4" fillId="25" fontId="14" numFmtId="0" xfId="0" applyAlignment="1" applyBorder="1" applyFont="1">
      <alignment horizontal="left"/>
    </xf>
    <xf borderId="4" fillId="25" fontId="53" numFmtId="0" xfId="0" applyAlignment="1" applyBorder="1" applyFont="1">
      <alignment horizontal="right"/>
    </xf>
    <xf borderId="4" fillId="25" fontId="14" numFmtId="2" xfId="0" applyAlignment="1" applyBorder="1" applyFont="1" applyNumberFormat="1">
      <alignment horizontal="right"/>
    </xf>
    <xf borderId="9" fillId="25" fontId="56" numFmtId="0" xfId="0" applyAlignment="1" applyBorder="1" applyFont="1">
      <alignment horizontal="right"/>
    </xf>
    <xf borderId="9" fillId="25" fontId="53" numFmtId="0" xfId="0" applyBorder="1" applyFont="1"/>
    <xf borderId="9" fillId="25" fontId="56" numFmtId="4" xfId="0" applyAlignment="1" applyBorder="1" applyFont="1" applyNumberFormat="1">
      <alignment horizontal="right"/>
    </xf>
    <xf borderId="36" fillId="30" fontId="5" numFmtId="0" xfId="0" applyAlignment="1" applyBorder="1" applyFont="1">
      <alignment horizontal="center" vertical="center"/>
    </xf>
    <xf borderId="37" fillId="30" fontId="5" numFmtId="0" xfId="0" applyAlignment="1" applyBorder="1" applyFont="1">
      <alignment horizontal="center" vertical="center"/>
    </xf>
    <xf borderId="1" fillId="17" fontId="57" numFmtId="0" xfId="0" applyAlignment="1" applyBorder="1" applyFont="1">
      <alignment horizontal="center" vertical="bottom"/>
    </xf>
    <xf borderId="1" fillId="3" fontId="19" numFmtId="0" xfId="0" applyAlignment="1" applyBorder="1" applyFont="1">
      <alignment horizontal="center" vertical="center"/>
    </xf>
    <xf borderId="6" fillId="3" fontId="2" numFmtId="164" xfId="0" applyAlignment="1" applyBorder="1" applyFont="1" applyNumberFormat="1">
      <alignment horizontal="center" vertical="center"/>
    </xf>
    <xf borderId="13" fillId="17" fontId="5" numFmtId="0" xfId="0" applyAlignment="1" applyBorder="1" applyFont="1">
      <alignment vertical="center"/>
    </xf>
    <xf borderId="13" fillId="17" fontId="5" numFmtId="4" xfId="0" applyAlignment="1" applyBorder="1" applyFont="1" applyNumberFormat="1">
      <alignment horizontal="right" vertical="bottom"/>
    </xf>
    <xf borderId="0" fillId="0" fontId="5" numFmtId="20" xfId="0" applyFont="1" applyNumberFormat="1"/>
    <xf borderId="1" fillId="5" fontId="58" numFmtId="0" xfId="0" applyAlignment="1" applyBorder="1" applyFont="1">
      <alignment horizontal="center" vertical="center"/>
    </xf>
    <xf borderId="4" fillId="17" fontId="5" numFmtId="0" xfId="0" applyAlignment="1" applyBorder="1" applyFont="1">
      <alignment vertical="center"/>
    </xf>
    <xf borderId="4" fillId="17" fontId="5" numFmtId="4" xfId="0" applyAlignment="1" applyBorder="1" applyFont="1" applyNumberFormat="1">
      <alignment horizontal="right" vertical="bottom"/>
    </xf>
    <xf borderId="28" fillId="5" fontId="5" numFmtId="0" xfId="0" applyAlignment="1" applyBorder="1" applyFont="1">
      <alignment horizontal="center" readingOrder="0" vertical="center"/>
    </xf>
    <xf borderId="15" fillId="0" fontId="6" numFmtId="0" xfId="0" applyBorder="1" applyFont="1"/>
    <xf borderId="10" fillId="32" fontId="59" numFmtId="0" xfId="0" applyAlignment="1" applyBorder="1" applyFill="1" applyFont="1">
      <alignment horizontal="right"/>
    </xf>
    <xf borderId="4" fillId="32" fontId="46" numFmtId="164" xfId="0" applyAlignment="1" applyBorder="1" applyFont="1" applyNumberFormat="1">
      <alignment horizontal="right"/>
    </xf>
    <xf borderId="43" fillId="0" fontId="6" numFmtId="0" xfId="0" applyBorder="1" applyFont="1"/>
    <xf borderId="22" fillId="0" fontId="6" numFmtId="0" xfId="0" applyBorder="1" applyFont="1"/>
    <xf borderId="0" fillId="9" fontId="14" numFmtId="0" xfId="0" applyFont="1"/>
    <xf borderId="0" fillId="9" fontId="14" numFmtId="4" xfId="0" applyFont="1" applyNumberFormat="1"/>
    <xf borderId="10" fillId="6" fontId="5" numFmtId="0" xfId="0" applyAlignment="1" applyBorder="1" applyFont="1">
      <alignment horizontal="right" vertical="center"/>
    </xf>
    <xf borderId="4" fillId="6" fontId="24" numFmtId="164" xfId="0" applyBorder="1" applyFont="1" applyNumberFormat="1"/>
    <xf borderId="0" fillId="9" fontId="33" numFmtId="0" xfId="0" applyFont="1"/>
    <xf borderId="0" fillId="0" fontId="33" numFmtId="0" xfId="0" applyFont="1"/>
    <xf borderId="1" fillId="2" fontId="34" numFmtId="0" xfId="0" applyAlignment="1" applyBorder="1" applyFont="1">
      <alignment horizontal="center" vertical="center"/>
    </xf>
    <xf borderId="10" fillId="13" fontId="5" numFmtId="0" xfId="0" applyAlignment="1" applyBorder="1" applyFont="1">
      <alignment horizontal="right" vertical="center"/>
    </xf>
    <xf borderId="4" fillId="13" fontId="24" numFmtId="164" xfId="0" applyAlignment="1" applyBorder="1" applyFont="1" applyNumberFormat="1">
      <alignment readingOrder="0"/>
    </xf>
    <xf borderId="44" fillId="5" fontId="9" numFmtId="0" xfId="0" applyAlignment="1" applyBorder="1" applyFont="1">
      <alignment horizontal="center"/>
    </xf>
    <xf borderId="23" fillId="0" fontId="6" numFmtId="0" xfId="0" applyBorder="1" applyFont="1"/>
    <xf borderId="6" fillId="0" fontId="38" numFmtId="0" xfId="0" applyAlignment="1" applyBorder="1" applyFont="1">
      <alignment horizontal="right"/>
    </xf>
    <xf borderId="6" fillId="0" fontId="46" numFmtId="166" xfId="0" applyAlignment="1" applyBorder="1" applyFont="1" applyNumberFormat="1">
      <alignment horizontal="right"/>
    </xf>
    <xf borderId="10" fillId="3" fontId="17" numFmtId="0" xfId="0" applyAlignment="1" applyBorder="1" applyFont="1">
      <alignment horizontal="right" vertical="center"/>
    </xf>
    <xf borderId="4" fillId="3" fontId="60" numFmtId="164" xfId="0" applyBorder="1" applyFont="1" applyNumberFormat="1"/>
    <xf borderId="35" fillId="0" fontId="6" numFmtId="0" xfId="0" applyBorder="1" applyFont="1"/>
    <xf borderId="6" fillId="0" fontId="14" numFmtId="0" xfId="0" applyAlignment="1" applyBorder="1" applyFont="1">
      <alignment horizontal="right"/>
    </xf>
    <xf borderId="6" fillId="0" fontId="14" numFmtId="166" xfId="0" applyBorder="1" applyFont="1" applyNumberFormat="1"/>
    <xf borderId="0" fillId="0" fontId="38" numFmtId="4" xfId="0" applyFont="1" applyNumberFormat="1"/>
    <xf borderId="10" fillId="2" fontId="19" numFmtId="0" xfId="0" applyAlignment="1" applyBorder="1" applyFont="1">
      <alignment horizontal="center" vertical="center"/>
    </xf>
    <xf borderId="4" fillId="2" fontId="33" numFmtId="4" xfId="0" applyAlignment="1" applyBorder="1" applyFont="1" applyNumberFormat="1">
      <alignment horizontal="center" vertical="center"/>
    </xf>
    <xf borderId="6" fillId="0" fontId="14" numFmtId="20" xfId="0" applyBorder="1" applyFont="1" applyNumberFormat="1"/>
    <xf borderId="0" fillId="0" fontId="14" numFmtId="2" xfId="0" applyFont="1" applyNumberFormat="1"/>
    <xf borderId="10" fillId="0" fontId="5" numFmtId="0" xfId="0" applyAlignment="1" applyBorder="1" applyFont="1">
      <alignment readingOrder="0"/>
    </xf>
    <xf borderId="6" fillId="0" fontId="14" numFmtId="2" xfId="0" applyBorder="1" applyFont="1" applyNumberFormat="1"/>
    <xf borderId="45" fillId="0" fontId="6" numFmtId="0" xfId="0" applyBorder="1" applyFont="1"/>
    <xf borderId="4" fillId="0" fontId="14" numFmtId="0" xfId="0" applyAlignment="1" applyBorder="1" applyFont="1">
      <alignment horizontal="center" vertical="center"/>
    </xf>
    <xf borderId="5" fillId="12" fontId="14" numFmtId="0" xfId="0" applyAlignment="1" applyBorder="1" applyFont="1">
      <alignment horizontal="center" vertical="center"/>
    </xf>
    <xf borderId="30" fillId="12" fontId="14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shrinkToFit="0" vertical="center" wrapText="1"/>
    </xf>
    <xf borderId="5" fillId="0" fontId="14" numFmtId="4" xfId="0" applyAlignment="1" applyBorder="1" applyFont="1" applyNumberFormat="1">
      <alignment horizontal="center" shrinkToFit="0" vertical="center" wrapText="1"/>
    </xf>
    <xf borderId="5" fillId="0" fontId="14" numFmtId="0" xfId="0" applyAlignment="1" applyBorder="1" applyFont="1">
      <alignment horizontal="center" shrinkToFit="0" vertical="center" wrapText="1"/>
    </xf>
    <xf borderId="20" fillId="5" fontId="14" numFmtId="168" xfId="0" applyAlignment="1" applyBorder="1" applyFont="1" applyNumberFormat="1">
      <alignment horizontal="right"/>
    </xf>
    <xf borderId="39" fillId="12" fontId="48" numFmtId="20" xfId="0" applyBorder="1" applyFont="1" applyNumberFormat="1"/>
    <xf borderId="20" fillId="12" fontId="48" numFmtId="20" xfId="0" applyBorder="1" applyFont="1" applyNumberFormat="1"/>
    <xf borderId="4" fillId="10" fontId="14" numFmtId="46" xfId="0" applyBorder="1" applyFont="1" applyNumberFormat="1"/>
    <xf borderId="20" fillId="10" fontId="14" numFmtId="165" xfId="0" applyBorder="1" applyFont="1" applyNumberFormat="1"/>
    <xf borderId="20" fillId="10" fontId="14" numFmtId="46" xfId="0" applyBorder="1" applyFont="1" applyNumberFormat="1"/>
    <xf borderId="9" fillId="24" fontId="33" numFmtId="4" xfId="0" applyAlignment="1" applyBorder="1" applyFont="1" applyNumberFormat="1">
      <alignment horizontal="center" vertical="center"/>
    </xf>
    <xf borderId="28" fillId="2" fontId="8" numFmtId="0" xfId="0" applyAlignment="1" applyBorder="1" applyFont="1">
      <alignment horizontal="center" vertical="center"/>
    </xf>
    <xf borderId="0" fillId="9" fontId="5" numFmtId="0" xfId="0" applyAlignment="1" applyFont="1">
      <alignment vertical="bottom"/>
    </xf>
    <xf borderId="0" fillId="9" fontId="5" numFmtId="4" xfId="0" applyAlignment="1" applyFont="1" applyNumberFormat="1">
      <alignment vertical="bottom"/>
    </xf>
    <xf borderId="35" fillId="0" fontId="5" numFmtId="0" xfId="0" applyAlignment="1" applyBorder="1" applyFont="1">
      <alignment vertical="bottom"/>
    </xf>
    <xf borderId="0" fillId="0" fontId="5" numFmtId="4" xfId="0" applyAlignment="1" applyFont="1" applyNumberFormat="1">
      <alignment vertical="bottom"/>
    </xf>
    <xf borderId="44" fillId="5" fontId="61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right" vertical="bottom"/>
    </xf>
    <xf borderId="6" fillId="0" fontId="57" numFmtId="166" xfId="0" applyAlignment="1" applyBorder="1" applyFont="1" applyNumberFormat="1">
      <alignment horizontal="right" vertical="bottom"/>
    </xf>
    <xf borderId="6" fillId="0" fontId="48" numFmtId="0" xfId="0" applyAlignment="1" applyBorder="1" applyFont="1">
      <alignment horizontal="right" vertical="bottom"/>
    </xf>
    <xf borderId="6" fillId="0" fontId="48" numFmtId="166" xfId="0" applyAlignment="1" applyBorder="1" applyFont="1" applyNumberFormat="1">
      <alignment horizontal="right" vertical="bottom"/>
    </xf>
    <xf borderId="6" fillId="0" fontId="48" numFmtId="20" xfId="0" applyAlignment="1" applyBorder="1" applyFont="1" applyNumberFormat="1">
      <alignment horizontal="right" vertical="bottom"/>
    </xf>
    <xf borderId="0" fillId="0" fontId="5" numFmtId="2" xfId="0" applyAlignment="1" applyFont="1" applyNumberFormat="1">
      <alignment vertical="bottom"/>
    </xf>
    <xf borderId="6" fillId="0" fontId="48" numFmtId="2" xfId="0" applyAlignment="1" applyBorder="1" applyFont="1" applyNumberFormat="1">
      <alignment horizontal="right" vertical="bottom"/>
    </xf>
    <xf borderId="35" fillId="0" fontId="5" numFmtId="4" xfId="0" applyAlignment="1" applyBorder="1" applyFont="1" applyNumberFormat="1">
      <alignment vertical="bottom"/>
    </xf>
    <xf borderId="13" fillId="0" fontId="48" numFmtId="0" xfId="0" applyAlignment="1" applyBorder="1" applyFont="1">
      <alignment horizontal="center"/>
    </xf>
    <xf borderId="20" fillId="0" fontId="48" numFmtId="0" xfId="0" applyAlignment="1" applyBorder="1" applyFont="1">
      <alignment horizontal="center"/>
    </xf>
    <xf borderId="20" fillId="12" fontId="48" numFmtId="0" xfId="0" applyAlignment="1" applyBorder="1" applyFont="1">
      <alignment horizontal="center"/>
    </xf>
    <xf borderId="20" fillId="0" fontId="48" numFmtId="4" xfId="0" applyAlignment="1" applyBorder="1" applyFont="1" applyNumberFormat="1">
      <alignment horizontal="center" shrinkToFit="0" wrapText="1"/>
    </xf>
    <xf borderId="20" fillId="0" fontId="48" numFmtId="0" xfId="0" applyAlignment="1" applyBorder="1" applyFont="1">
      <alignment horizontal="center" shrinkToFit="0" wrapText="1"/>
    </xf>
    <xf borderId="13" fillId="0" fontId="48" numFmtId="0" xfId="0" applyAlignment="1" applyBorder="1" applyFont="1">
      <alignment horizontal="center" vertical="bottom"/>
    </xf>
    <xf borderId="20" fillId="0" fontId="48" numFmtId="170" xfId="0" applyAlignment="1" applyBorder="1" applyFont="1" applyNumberFormat="1">
      <alignment horizontal="center" vertical="bottom"/>
    </xf>
    <xf borderId="20" fillId="0" fontId="48" numFmtId="168" xfId="0" applyAlignment="1" applyBorder="1" applyFont="1" applyNumberFormat="1">
      <alignment horizontal="right" vertical="bottom"/>
    </xf>
    <xf borderId="20" fillId="33" fontId="48" numFmtId="46" xfId="0" applyAlignment="1" applyBorder="1" applyFill="1" applyFont="1" applyNumberFormat="1">
      <alignment horizontal="right" vertical="bottom"/>
    </xf>
    <xf borderId="20" fillId="33" fontId="48" numFmtId="165" xfId="0" applyAlignment="1" applyBorder="1" applyFont="1" applyNumberFormat="1">
      <alignment horizontal="right" vertical="bottom"/>
    </xf>
    <xf borderId="20" fillId="33" fontId="48" numFmtId="166" xfId="0" applyAlignment="1" applyBorder="1" applyFont="1" applyNumberFormat="1">
      <alignment horizontal="right" vertical="bottom"/>
    </xf>
    <xf borderId="20" fillId="0" fontId="5" numFmtId="0" xfId="0" applyAlignment="1" applyBorder="1" applyFont="1">
      <alignment vertical="bottom"/>
    </xf>
    <xf borderId="20" fillId="8" fontId="5" numFmtId="20" xfId="0" applyAlignment="1" applyBorder="1" applyFont="1" applyNumberFormat="1">
      <alignment vertical="bottom"/>
    </xf>
    <xf borderId="20" fillId="5" fontId="48" numFmtId="170" xfId="0" applyAlignment="1" applyBorder="1" applyFont="1" applyNumberFormat="1">
      <alignment horizontal="center" vertical="bottom"/>
    </xf>
    <xf borderId="20" fillId="8" fontId="5" numFmtId="20" xfId="0" applyAlignment="1" applyBorder="1" applyFont="1" applyNumberFormat="1">
      <alignment readingOrder="0" vertical="bottom"/>
    </xf>
    <xf borderId="13" fillId="9" fontId="48" numFmtId="0" xfId="0" applyAlignment="1" applyBorder="1" applyFont="1">
      <alignment horizontal="center" vertical="bottom"/>
    </xf>
    <xf borderId="23" fillId="8" fontId="5" numFmtId="20" xfId="0" applyAlignment="1" applyBorder="1" applyFont="1" applyNumberFormat="1">
      <alignment vertical="bottom"/>
    </xf>
    <xf borderId="20" fillId="9" fontId="5" numFmtId="0" xfId="0" applyAlignment="1" applyBorder="1" applyFont="1">
      <alignment vertical="bottom"/>
    </xf>
    <xf borderId="13" fillId="9" fontId="5" numFmtId="0" xfId="0" applyAlignment="1" applyBorder="1" applyFont="1">
      <alignment vertical="bottom"/>
    </xf>
    <xf borderId="20" fillId="33" fontId="48" numFmtId="4" xfId="0" applyAlignment="1" applyBorder="1" applyFont="1" applyNumberFormat="1">
      <alignment horizontal="right" vertical="bottom"/>
    </xf>
    <xf borderId="20" fillId="9" fontId="48" numFmtId="0" xfId="0" applyAlignment="1" applyBorder="1" applyFont="1">
      <alignment horizontal="right" vertical="bottom"/>
    </xf>
    <xf borderId="13" fillId="0" fontId="5" numFmtId="0" xfId="0" applyAlignment="1" applyBorder="1" applyFont="1">
      <alignment vertical="bottom"/>
    </xf>
    <xf borderId="6" fillId="9" fontId="55" numFmtId="46" xfId="0" applyAlignment="1" applyBorder="1" applyFont="1" applyNumberFormat="1">
      <alignment horizontal="center" vertical="bottom"/>
    </xf>
  </cellXfs>
  <cellStyles count="1">
    <cellStyle xfId="0" name="Normal" builtinId="0"/>
  </cellStyles>
  <dxfs count="5"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0</xdr:colOff>
      <xdr:row>64</xdr:row>
      <xdr:rowOff>171450</xdr:rowOff>
    </xdr:from>
    <xdr:ext cx="1190625" cy="409575"/>
    <xdr:sp>
      <xdr:nvSpPr>
        <xdr:cNvPr id="3" name="Shape 3"/>
        <xdr:cNvSpPr/>
      </xdr:nvSpPr>
      <xdr:spPr>
        <a:xfrm>
          <a:off x="4755450" y="3579975"/>
          <a:ext cx="1181100" cy="400050"/>
        </a:xfrm>
        <a:prstGeom prst="righ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3152775</xdr:colOff>
      <xdr:row>1</xdr:row>
      <xdr:rowOff>257175</xdr:rowOff>
    </xdr:from>
    <xdr:ext cx="504825" cy="419100"/>
    <xdr:sp>
      <xdr:nvSpPr>
        <xdr:cNvPr id="4" name="Shape 4"/>
        <xdr:cNvSpPr/>
      </xdr:nvSpPr>
      <xdr:spPr>
        <a:xfrm>
          <a:off x="5098350" y="3575213"/>
          <a:ext cx="495300" cy="409575"/>
        </a:xfrm>
        <a:prstGeom prst="lef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3143250</xdr:colOff>
      <xdr:row>6</xdr:row>
      <xdr:rowOff>266700</xdr:rowOff>
    </xdr:from>
    <xdr:ext cx="638175" cy="419100"/>
    <xdr:sp>
      <xdr:nvSpPr>
        <xdr:cNvPr id="5" name="Shape 5"/>
        <xdr:cNvSpPr/>
      </xdr:nvSpPr>
      <xdr:spPr>
        <a:xfrm>
          <a:off x="5031675" y="3575213"/>
          <a:ext cx="628650" cy="409575"/>
        </a:xfrm>
        <a:prstGeom prst="lef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3181350</xdr:colOff>
      <xdr:row>10</xdr:row>
      <xdr:rowOff>0</xdr:rowOff>
    </xdr:from>
    <xdr:ext cx="438150" cy="285750"/>
    <xdr:sp>
      <xdr:nvSpPr>
        <xdr:cNvPr id="6" name="Shape 6"/>
        <xdr:cNvSpPr/>
      </xdr:nvSpPr>
      <xdr:spPr>
        <a:xfrm>
          <a:off x="5131688" y="3641888"/>
          <a:ext cx="428625" cy="276225"/>
        </a:xfrm>
        <a:prstGeom prst="lef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3162300</xdr:colOff>
      <xdr:row>10</xdr:row>
      <xdr:rowOff>295275</xdr:rowOff>
    </xdr:from>
    <xdr:ext cx="504825" cy="285750"/>
    <xdr:sp>
      <xdr:nvSpPr>
        <xdr:cNvPr id="7" name="Shape 7"/>
        <xdr:cNvSpPr/>
      </xdr:nvSpPr>
      <xdr:spPr>
        <a:xfrm>
          <a:off x="5098350" y="3641888"/>
          <a:ext cx="495300" cy="276225"/>
        </a:xfrm>
        <a:prstGeom prst="lef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17</xdr:col>
      <xdr:colOff>28575</xdr:colOff>
      <xdr:row>13</xdr:row>
      <xdr:rowOff>28575</xdr:rowOff>
    </xdr:from>
    <xdr:ext cx="714375" cy="352425"/>
    <xdr:sp>
      <xdr:nvSpPr>
        <xdr:cNvPr id="8" name="Shape 8"/>
        <xdr:cNvSpPr/>
      </xdr:nvSpPr>
      <xdr:spPr>
        <a:xfrm>
          <a:off x="6040363" y="3613300"/>
          <a:ext cx="695400" cy="333300"/>
        </a:xfrm>
        <a:prstGeom prst="lef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590550</xdr:colOff>
      <xdr:row>21</xdr:row>
      <xdr:rowOff>9525</xdr:rowOff>
    </xdr:from>
    <xdr:ext cx="638175" cy="438150"/>
    <xdr:sp>
      <xdr:nvSpPr>
        <xdr:cNvPr id="9" name="Shape 9"/>
        <xdr:cNvSpPr/>
      </xdr:nvSpPr>
      <xdr:spPr>
        <a:xfrm>
          <a:off x="5031675" y="3565688"/>
          <a:ext cx="628650" cy="428625"/>
        </a:xfrm>
        <a:prstGeom prst="lef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590550</xdr:colOff>
      <xdr:row>17</xdr:row>
      <xdr:rowOff>0</xdr:rowOff>
    </xdr:from>
    <xdr:ext cx="638175" cy="409575"/>
    <xdr:sp>
      <xdr:nvSpPr>
        <xdr:cNvPr id="10" name="Shape 10"/>
        <xdr:cNvSpPr/>
      </xdr:nvSpPr>
      <xdr:spPr>
        <a:xfrm>
          <a:off x="5031675" y="3579975"/>
          <a:ext cx="628650" cy="400050"/>
        </a:xfrm>
        <a:prstGeom prst="lef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3162300</xdr:colOff>
      <xdr:row>11</xdr:row>
      <xdr:rowOff>266700</xdr:rowOff>
    </xdr:from>
    <xdr:ext cx="504825" cy="285750"/>
    <xdr:sp>
      <xdr:nvSpPr>
        <xdr:cNvPr id="7" name="Shape 7"/>
        <xdr:cNvSpPr/>
      </xdr:nvSpPr>
      <xdr:spPr>
        <a:xfrm>
          <a:off x="5098350" y="3641888"/>
          <a:ext cx="495300" cy="276225"/>
        </a:xfrm>
        <a:prstGeom prst="leftArrow">
          <a:avLst>
            <a:gd fmla="val 50000" name="adj1"/>
            <a:gd fmla="val 50000" name="adj2"/>
          </a:avLst>
        </a:prstGeom>
        <a:solidFill>
          <a:srgbClr val="FF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1209675</xdr:colOff>
      <xdr:row>0</xdr:row>
      <xdr:rowOff>762000</xdr:rowOff>
    </xdr:from>
    <xdr:ext cx="209550" cy="2857500"/>
    <xdr:grpSp>
      <xdr:nvGrpSpPr>
        <xdr:cNvPr id="2" name="Shape 2"/>
        <xdr:cNvGrpSpPr/>
      </xdr:nvGrpSpPr>
      <xdr:grpSpPr>
        <a:xfrm>
          <a:off x="5241225" y="2351250"/>
          <a:ext cx="209550" cy="2857500"/>
          <a:chOff x="5241225" y="2351250"/>
          <a:chExt cx="209550" cy="2857500"/>
        </a:xfrm>
      </xdr:grpSpPr>
      <xdr:grpSp>
        <xdr:nvGrpSpPr>
          <xdr:cNvPr id="11" name="Shape 11"/>
          <xdr:cNvGrpSpPr/>
        </xdr:nvGrpSpPr>
        <xdr:grpSpPr>
          <a:xfrm>
            <a:off x="5241225" y="2351250"/>
            <a:ext cx="209550" cy="2857500"/>
            <a:chOff x="5241225" y="2351250"/>
            <a:chExt cx="209550" cy="2857500"/>
          </a:xfrm>
        </xdr:grpSpPr>
        <xdr:sp>
          <xdr:nvSpPr>
            <xdr:cNvPr id="12" name="Shape 12"/>
            <xdr:cNvSpPr/>
          </xdr:nvSpPr>
          <xdr:spPr>
            <a:xfrm>
              <a:off x="5241225" y="2351250"/>
              <a:ext cx="209550" cy="2857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3" name="Shape 13"/>
            <xdr:cNvGrpSpPr/>
          </xdr:nvGrpSpPr>
          <xdr:grpSpPr>
            <a:xfrm>
              <a:off x="5241225" y="2351250"/>
              <a:ext cx="209550" cy="2857500"/>
              <a:chOff x="5241225" y="2351250"/>
              <a:chExt cx="209550" cy="2857500"/>
            </a:xfrm>
          </xdr:grpSpPr>
          <xdr:sp>
            <xdr:nvSpPr>
              <xdr:cNvPr id="14" name="Shape 14"/>
              <xdr:cNvSpPr/>
            </xdr:nvSpPr>
            <xdr:spPr>
              <a:xfrm>
                <a:off x="5241225" y="2351250"/>
                <a:ext cx="209550" cy="2857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5" name="Shape 15"/>
              <xdr:cNvGrpSpPr/>
            </xdr:nvGrpSpPr>
            <xdr:grpSpPr>
              <a:xfrm>
                <a:off x="5241225" y="2351250"/>
                <a:ext cx="209550" cy="2857500"/>
                <a:chOff x="5241225" y="2351250"/>
                <a:chExt cx="209550" cy="2857500"/>
              </a:xfrm>
            </xdr:grpSpPr>
            <xdr:sp>
              <xdr:nvSpPr>
                <xdr:cNvPr id="16" name="Shape 16"/>
                <xdr:cNvSpPr/>
              </xdr:nvSpPr>
              <xdr:spPr>
                <a:xfrm>
                  <a:off x="5241225" y="2351250"/>
                  <a:ext cx="209550" cy="2857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7" name="Shape 17"/>
                <xdr:cNvGrpSpPr/>
              </xdr:nvGrpSpPr>
              <xdr:grpSpPr>
                <a:xfrm>
                  <a:off x="5241225" y="2351250"/>
                  <a:ext cx="209550" cy="2857500"/>
                  <a:chOff x="5241225" y="2351250"/>
                  <a:chExt cx="209550" cy="2857500"/>
                </a:xfrm>
              </xdr:grpSpPr>
              <xdr:sp>
                <xdr:nvSpPr>
                  <xdr:cNvPr id="18" name="Shape 18"/>
                  <xdr:cNvSpPr/>
                </xdr:nvSpPr>
                <xdr:spPr>
                  <a:xfrm>
                    <a:off x="5241225" y="2351250"/>
                    <a:ext cx="209550" cy="2857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9" name="Shape 19"/>
                  <xdr:cNvGrpSpPr/>
                </xdr:nvGrpSpPr>
                <xdr:grpSpPr>
                  <a:xfrm>
                    <a:off x="5241225" y="2351250"/>
                    <a:ext cx="209550" cy="2857500"/>
                    <a:chOff x="5241225" y="2351250"/>
                    <a:chExt cx="209550" cy="2857500"/>
                  </a:xfrm>
                </xdr:grpSpPr>
                <xdr:sp>
                  <xdr:nvSpPr>
                    <xdr:cNvPr id="20" name="Shape 20"/>
                    <xdr:cNvSpPr/>
                  </xdr:nvSpPr>
                  <xdr:spPr>
                    <a:xfrm>
                      <a:off x="5241225" y="2351250"/>
                      <a:ext cx="209550" cy="2857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21" name="Shape 21"/>
                    <xdr:cNvGrpSpPr/>
                  </xdr:nvGrpSpPr>
                  <xdr:grpSpPr>
                    <a:xfrm>
                      <a:off x="5241225" y="2351250"/>
                      <a:ext cx="209550" cy="2857500"/>
                      <a:chOff x="5241225" y="2351250"/>
                      <a:chExt cx="209550" cy="2857500"/>
                    </a:xfrm>
                  </xdr:grpSpPr>
                  <xdr:sp>
                    <xdr:nvSpPr>
                      <xdr:cNvPr id="22" name="Shape 22"/>
                      <xdr:cNvSpPr/>
                    </xdr:nvSpPr>
                    <xdr:spPr>
                      <a:xfrm>
                        <a:off x="5241225" y="2351250"/>
                        <a:ext cx="209550" cy="2857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23" name="Shape 23"/>
                      <xdr:cNvGrpSpPr/>
                    </xdr:nvGrpSpPr>
                    <xdr:grpSpPr>
                      <a:xfrm>
                        <a:off x="5241225" y="2351250"/>
                        <a:ext cx="209550" cy="2857500"/>
                        <a:chOff x="5241225" y="2351250"/>
                        <a:chExt cx="209550" cy="2857500"/>
                      </a:xfrm>
                    </xdr:grpSpPr>
                    <xdr:sp>
                      <xdr:nvSpPr>
                        <xdr:cNvPr id="24" name="Shape 24"/>
                        <xdr:cNvSpPr/>
                      </xdr:nvSpPr>
                      <xdr:spPr>
                        <a:xfrm>
                          <a:off x="5241225" y="2351250"/>
                          <a:ext cx="209550" cy="2857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grpSp>
                      <xdr:nvGrpSpPr>
                        <xdr:cNvPr id="25" name="Shape 25"/>
                        <xdr:cNvGrpSpPr/>
                      </xdr:nvGrpSpPr>
                      <xdr:grpSpPr>
                        <a:xfrm>
                          <a:off x="5241225" y="2351250"/>
                          <a:ext cx="209550" cy="2857500"/>
                          <a:chOff x="5241225" y="2351250"/>
                          <a:chExt cx="209550" cy="2857500"/>
                        </a:xfrm>
                      </xdr:grpSpPr>
                      <xdr:sp>
                        <xdr:nvSpPr>
                          <xdr:cNvPr id="26" name="Shape 26"/>
                          <xdr:cNvSpPr/>
                        </xdr:nvSpPr>
                        <xdr:spPr>
                          <a:xfrm>
                            <a:off x="5241225" y="2351250"/>
                            <a:ext cx="209550" cy="2857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anchorCtr="0" anchor="ctr" bIns="91425" lIns="91425" spcFirstLastPara="1" rIns="91425" wrap="square" tIns="91425">
                            <a:noAutofit/>
                          </a:bodyPr>
                          <a:lstStyle/>
                          <a:p>
                            <a:pPr indent="0" lvl="0" marL="0" rtl="0" algn="l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r>
                              <a:t/>
                            </a:r>
                            <a:endParaRPr sz="1400"/>
                          </a:p>
                        </xdr:txBody>
                      </xdr:sp>
                      <xdr:grpSp>
                        <xdr:nvGrpSpPr>
                          <xdr:cNvPr id="27" name="Shape 27"/>
                          <xdr:cNvGrpSpPr/>
                        </xdr:nvGrpSpPr>
                        <xdr:grpSpPr>
                          <a:xfrm>
                            <a:off x="5241225" y="2351250"/>
                            <a:ext cx="209550" cy="2857500"/>
                            <a:chOff x="5241225" y="2351250"/>
                            <a:chExt cx="209550" cy="2857500"/>
                          </a:xfrm>
                        </xdr:grpSpPr>
                        <xdr:sp>
                          <xdr:nvSpPr>
                            <xdr:cNvPr id="28" name="Shape 28"/>
                            <xdr:cNvSpPr/>
                          </xdr:nvSpPr>
                          <xdr:spPr>
                            <a:xfrm>
                              <a:off x="5241225" y="2351250"/>
                              <a:ext cx="209550" cy="2857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anchorCtr="0" anchor="ctr" bIns="91425" lIns="91425" spcFirstLastPara="1" rIns="91425" wrap="square" tIns="91425">
                              <a:noAutofit/>
                            </a:bodyPr>
                            <a:lstStyle/>
                            <a:p>
                              <a:pPr indent="0" lvl="0" marL="0" rtl="0" algn="l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r>
                                <a:t/>
                              </a: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" name="Shape 29"/>
                            <xdr:cNvGrpSpPr/>
                          </xdr:nvGrpSpPr>
                          <xdr:grpSpPr>
                            <a:xfrm>
                              <a:off x="5241225" y="2351250"/>
                              <a:ext cx="209550" cy="2857500"/>
                              <a:chOff x="5241225" y="2351250"/>
                              <a:chExt cx="209550" cy="2857500"/>
                            </a:xfrm>
                          </xdr:grpSpPr>
                          <xdr:sp>
                            <xdr:nvSpPr>
                              <xdr:cNvPr id="30" name="Shape 30"/>
                              <xdr:cNvSpPr/>
                            </xdr:nvSpPr>
                            <xdr:spPr>
                              <a:xfrm>
                                <a:off x="5241225" y="2351250"/>
                                <a:ext cx="209550" cy="2857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anchorCtr="0" anchor="ctr" bIns="91425" lIns="91425" spcFirstLastPara="1" rIns="91425" wrap="square" tIns="91425">
                                <a:noAutofit/>
                              </a:bodyPr>
                              <a:lstStyle/>
                              <a:p>
                                <a:pPr indent="0" lvl="0" marL="0" rtl="0" algn="l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r>
                                  <a:t/>
                                </a: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1" name="Shape 31" title="Dibujo"/>
                              <xdr:cNvGrpSpPr/>
                            </xdr:nvGrpSpPr>
                            <xdr:grpSpPr>
                              <a:xfrm>
                                <a:off x="5241225" y="2351250"/>
                                <a:ext cx="209550" cy="2857500"/>
                                <a:chOff x="3797700" y="744125"/>
                                <a:chExt cx="452400" cy="2842950"/>
                              </a:xfrm>
                            </xdr:grpSpPr>
                            <xdr:sp>
                              <xdr:nvSpPr>
                                <xdr:cNvPr id="32" name="Shape 32"/>
                                <xdr:cNvSpPr/>
                              </xdr:nvSpPr>
                              <xdr:spPr>
                                <a:xfrm>
                                  <a:off x="3797700" y="744125"/>
                                  <a:ext cx="452400" cy="2842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anchorCtr="0" anchor="ctr" bIns="91425" lIns="91425" spcFirstLastPara="1" rIns="91425" wrap="square" tIns="91425">
                                  <a:noAutofit/>
                                </a:bodyPr>
                                <a:lstStyle/>
                                <a:p>
                                  <a:pPr indent="0" lvl="0" marL="0" rtl="0" algn="l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r>
                                    <a:t/>
                                  </a:r>
                                  <a:endParaRPr sz="1400"/>
                                </a:p>
                              </xdr:txBody>
                            </xdr:sp>
                            <xdr:sp>
                              <xdr:nvSpPr>
                                <xdr:cNvPr id="33" name="Shape 33"/>
                                <xdr:cNvSpPr/>
                              </xdr:nvSpPr>
                              <xdr:spPr>
                                <a:xfrm rot="10800000">
                                  <a:off x="3797700" y="3345875"/>
                                  <a:ext cx="452400" cy="241200"/>
                                </a:xfrm>
                                <a:prstGeom prst="leftArrow">
                                  <a:avLst>
                                    <a:gd fmla="val 50000" name="adj1"/>
                                    <a:gd fmla="val 50000" name="adj2"/>
                                  </a:avLst>
                                </a:prstGeom>
                                <a:solidFill>
                                  <a:srgbClr val="FF0000"/>
                                </a:solidFill>
                                <a:ln cap="flat" cmpd="sng" w="9525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len="sm" w="sm" type="none"/>
                                  <a:tailEnd len="sm" w="sm" type="none"/>
                                </a:ln>
                              </xdr:spPr>
                              <xdr:txBody>
                                <a:bodyPr anchorCtr="0" anchor="ctr" bIns="91425" lIns="91425" spcFirstLastPara="1" rIns="91425" wrap="square" tIns="91425">
                                  <a:noAutofit/>
                                </a:bodyPr>
                                <a:lstStyle/>
                                <a:p>
                                  <a:pPr indent="0" lvl="0" marL="0" rtl="0" algn="ctr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r>
                                    <a:t/>
                                  </a:r>
                                  <a:endParaRPr sz="1400"/>
                                </a:p>
                              </xdr:txBody>
                            </xdr:sp>
                            <xdr:sp>
                              <xdr:nvSpPr>
                                <xdr:cNvPr id="34" name="Shape 34"/>
                                <xdr:cNvSpPr/>
                              </xdr:nvSpPr>
                              <xdr:spPr>
                                <a:xfrm rot="10800000">
                                  <a:off x="3797700" y="2959500"/>
                                  <a:ext cx="452400" cy="241200"/>
                                </a:xfrm>
                                <a:prstGeom prst="leftArrow">
                                  <a:avLst>
                                    <a:gd fmla="val 50000" name="adj1"/>
                                    <a:gd fmla="val 50000" name="adj2"/>
                                  </a:avLst>
                                </a:prstGeom>
                                <a:solidFill>
                                  <a:srgbClr val="FF0000"/>
                                </a:solidFill>
                                <a:ln cap="flat" cmpd="sng" w="9525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len="sm" w="sm" type="none"/>
                                  <a:tailEnd len="sm" w="sm" type="none"/>
                                </a:ln>
                              </xdr:spPr>
                              <xdr:txBody>
                                <a:bodyPr anchorCtr="0" anchor="ctr" bIns="91425" lIns="91425" spcFirstLastPara="1" rIns="91425" wrap="square" tIns="91425">
                                  <a:noAutofit/>
                                </a:bodyPr>
                                <a:lstStyle/>
                                <a:p>
                                  <a:pPr indent="0" lvl="0" marL="0" rtl="0" algn="ctr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r>
                                    <a:t/>
                                  </a:r>
                                  <a:endParaRPr sz="1400"/>
                                </a:p>
                              </xdr:txBody>
                            </xdr:sp>
                            <xdr:sp>
                              <xdr:nvSpPr>
                                <xdr:cNvPr id="35" name="Shape 35"/>
                                <xdr:cNvSpPr/>
                              </xdr:nvSpPr>
                              <xdr:spPr>
                                <a:xfrm rot="10800000">
                                  <a:off x="3797700" y="2573125"/>
                                  <a:ext cx="452400" cy="241200"/>
                                </a:xfrm>
                                <a:prstGeom prst="leftArrow">
                                  <a:avLst>
                                    <a:gd fmla="val 50000" name="adj1"/>
                                    <a:gd fmla="val 50000" name="adj2"/>
                                  </a:avLst>
                                </a:prstGeom>
                                <a:solidFill>
                                  <a:srgbClr val="FF0000"/>
                                </a:solidFill>
                                <a:ln cap="flat" cmpd="sng" w="9525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len="sm" w="sm" type="none"/>
                                  <a:tailEnd len="sm" w="sm" type="none"/>
                                </a:ln>
                              </xdr:spPr>
                              <xdr:txBody>
                                <a:bodyPr anchorCtr="0" anchor="ctr" bIns="91425" lIns="91425" spcFirstLastPara="1" rIns="91425" wrap="square" tIns="91425">
                                  <a:noAutofit/>
                                </a:bodyPr>
                                <a:lstStyle/>
                                <a:p>
                                  <a:pPr indent="0" lvl="0" marL="0" rtl="0" algn="ctr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r>
                                    <a:t/>
                                  </a:r>
                                  <a:endParaRPr sz="1400"/>
                                </a:p>
                              </xdr:txBody>
                            </xdr:sp>
                            <xdr:sp>
                              <xdr:nvSpPr>
                                <xdr:cNvPr id="36" name="Shape 36"/>
                                <xdr:cNvSpPr/>
                              </xdr:nvSpPr>
                              <xdr:spPr>
                                <a:xfrm rot="10800000">
                                  <a:off x="3797700" y="2191050"/>
                                  <a:ext cx="452400" cy="241200"/>
                                </a:xfrm>
                                <a:prstGeom prst="leftArrow">
                                  <a:avLst>
                                    <a:gd fmla="val 50000" name="adj1"/>
                                    <a:gd fmla="val 50000" name="adj2"/>
                                  </a:avLst>
                                </a:prstGeom>
                                <a:solidFill>
                                  <a:srgbClr val="FF0000"/>
                                </a:solidFill>
                                <a:ln cap="flat" cmpd="sng" w="9525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len="sm" w="sm" type="none"/>
                                  <a:tailEnd len="sm" w="sm" type="none"/>
                                </a:ln>
                              </xdr:spPr>
                              <xdr:txBody>
                                <a:bodyPr anchorCtr="0" anchor="ctr" bIns="91425" lIns="91425" spcFirstLastPara="1" rIns="91425" wrap="square" tIns="91425">
                                  <a:noAutofit/>
                                </a:bodyPr>
                                <a:lstStyle/>
                                <a:p>
                                  <a:pPr indent="0" lvl="0" marL="0" rtl="0" algn="ctr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r>
                                    <a:t/>
                                  </a:r>
                                  <a:endParaRPr sz="1400"/>
                                </a:p>
                              </xdr:txBody>
                            </xdr:sp>
                            <xdr:sp>
                              <xdr:nvSpPr>
                                <xdr:cNvPr id="37" name="Shape 37"/>
                                <xdr:cNvSpPr/>
                              </xdr:nvSpPr>
                              <xdr:spPr>
                                <a:xfrm rot="10800000">
                                  <a:off x="3797700" y="1813150"/>
                                  <a:ext cx="452400" cy="241200"/>
                                </a:xfrm>
                                <a:prstGeom prst="leftArrow">
                                  <a:avLst>
                                    <a:gd fmla="val 50000" name="adj1"/>
                                    <a:gd fmla="val 50000" name="adj2"/>
                                  </a:avLst>
                                </a:prstGeom>
                                <a:solidFill>
                                  <a:srgbClr val="FF0000"/>
                                </a:solidFill>
                                <a:ln cap="flat" cmpd="sng" w="9525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len="sm" w="sm" type="none"/>
                                  <a:tailEnd len="sm" w="sm" type="none"/>
                                </a:ln>
                              </xdr:spPr>
                              <xdr:txBody>
                                <a:bodyPr anchorCtr="0" anchor="ctr" bIns="91425" lIns="91425" spcFirstLastPara="1" rIns="91425" wrap="square" tIns="91425">
                                  <a:noAutofit/>
                                </a:bodyPr>
                                <a:lstStyle/>
                                <a:p>
                                  <a:pPr indent="0" lvl="0" marL="0" rtl="0" algn="ctr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r>
                                    <a:t/>
                                  </a:r>
                                  <a:endParaRPr sz="1400"/>
                                </a:p>
                              </xdr:txBody>
                            </xdr:sp>
                            <xdr:sp>
                              <xdr:nvSpPr>
                                <xdr:cNvPr id="38" name="Shape 38"/>
                                <xdr:cNvSpPr/>
                              </xdr:nvSpPr>
                              <xdr:spPr>
                                <a:xfrm rot="10800000">
                                  <a:off x="3797700" y="1380775"/>
                                  <a:ext cx="452400" cy="241200"/>
                                </a:xfrm>
                                <a:prstGeom prst="leftArrow">
                                  <a:avLst>
                                    <a:gd fmla="val 50000" name="adj1"/>
                                    <a:gd fmla="val 50000" name="adj2"/>
                                  </a:avLst>
                                </a:prstGeom>
                                <a:solidFill>
                                  <a:srgbClr val="FF0000"/>
                                </a:solidFill>
                                <a:ln cap="flat" cmpd="sng" w="9525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len="sm" w="sm" type="none"/>
                                  <a:tailEnd len="sm" w="sm" type="none"/>
                                </a:ln>
                              </xdr:spPr>
                              <xdr:txBody>
                                <a:bodyPr anchorCtr="0" anchor="ctr" bIns="91425" lIns="91425" spcFirstLastPara="1" rIns="91425" wrap="square" tIns="91425">
                                  <a:noAutofit/>
                                </a:bodyPr>
                                <a:lstStyle/>
                                <a:p>
                                  <a:pPr indent="0" lvl="0" marL="0" rtl="0" algn="ctr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r>
                                    <a:t/>
                                  </a:r>
                                  <a:endParaRPr sz="1400"/>
                                </a:p>
                              </xdr:txBody>
                            </xdr:sp>
                            <xdr:sp>
                              <xdr:nvSpPr>
                                <xdr:cNvPr id="39" name="Shape 39"/>
                                <xdr:cNvSpPr/>
                              </xdr:nvSpPr>
                              <xdr:spPr>
                                <a:xfrm rot="10800000">
                                  <a:off x="3797700" y="744125"/>
                                  <a:ext cx="452400" cy="241200"/>
                                </a:xfrm>
                                <a:prstGeom prst="leftArrow">
                                  <a:avLst>
                                    <a:gd fmla="val 50000" name="adj1"/>
                                    <a:gd fmla="val 50000" name="adj2"/>
                                  </a:avLst>
                                </a:prstGeom>
                                <a:solidFill>
                                  <a:srgbClr val="FF0000"/>
                                </a:solidFill>
                                <a:ln cap="flat" cmpd="sng" w="9525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len="sm" w="sm" type="none"/>
                                  <a:tailEnd len="sm" w="sm" type="none"/>
                                </a:ln>
                              </xdr:spPr>
                              <xdr:txBody>
                                <a:bodyPr anchorCtr="0" anchor="ctr" bIns="91425" lIns="91425" spcFirstLastPara="1" rIns="91425" wrap="square" tIns="91425">
                                  <a:noAutofit/>
                                </a:bodyPr>
                                <a:lstStyle/>
                                <a:p>
                                  <a:pPr indent="0" lvl="0" marL="0" rtl="0" algn="ctr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r>
                                    <a:t/>
                                  </a:r>
                                  <a:endParaRPr sz="1400"/>
                                </a:p>
                              </xdr:txBody>
                            </xdr: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1.38"/>
    <col customWidth="1" min="3" max="3" width="3.88"/>
    <col customWidth="1" min="4" max="4" width="58.38"/>
  </cols>
  <sheetData>
    <row r="1">
      <c r="D1" s="1" t="s">
        <v>0</v>
      </c>
    </row>
    <row r="2">
      <c r="B2" s="3" t="s">
        <v>2</v>
      </c>
      <c r="D2" s="3" t="s">
        <v>3</v>
      </c>
    </row>
    <row r="3">
      <c r="D3" s="3" t="s">
        <v>5</v>
      </c>
    </row>
    <row r="4">
      <c r="D4" s="3" t="s">
        <v>6</v>
      </c>
    </row>
    <row r="5">
      <c r="D5" s="3" t="s">
        <v>7</v>
      </c>
    </row>
    <row r="6">
      <c r="D6" s="3" t="s">
        <v>8</v>
      </c>
    </row>
    <row r="7">
      <c r="E7" s="3" t="s">
        <v>9</v>
      </c>
    </row>
    <row r="8">
      <c r="E8" s="3" t="s">
        <v>10</v>
      </c>
    </row>
    <row r="9">
      <c r="E9" s="3" t="s">
        <v>11</v>
      </c>
    </row>
    <row r="10">
      <c r="E10" s="3" t="s">
        <v>12</v>
      </c>
    </row>
    <row r="11">
      <c r="D11" s="3" t="s">
        <v>13</v>
      </c>
    </row>
    <row r="12">
      <c r="D12" s="3" t="s">
        <v>14</v>
      </c>
    </row>
    <row r="13">
      <c r="D13" s="3" t="s">
        <v>20</v>
      </c>
    </row>
    <row r="14">
      <c r="D14" s="3" t="s">
        <v>21</v>
      </c>
    </row>
    <row r="15">
      <c r="D15" s="3" t="s">
        <v>22</v>
      </c>
    </row>
    <row r="16">
      <c r="D16" s="3" t="s">
        <v>24</v>
      </c>
    </row>
    <row r="17">
      <c r="D17" s="3" t="s">
        <v>25</v>
      </c>
    </row>
    <row r="18">
      <c r="D18" s="3" t="s">
        <v>26</v>
      </c>
    </row>
    <row r="19">
      <c r="D19" s="3" t="s">
        <v>27</v>
      </c>
    </row>
    <row r="20">
      <c r="D20" s="3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19.25"/>
    <col customWidth="1" min="3" max="3" width="17.25"/>
    <col customWidth="1" min="4" max="5" width="14.88"/>
    <col customWidth="1" min="6" max="6" width="21.63"/>
    <col customWidth="1" min="7" max="7" width="21.25"/>
    <col customWidth="1" min="8" max="9" width="23.13"/>
    <col customWidth="1" min="10" max="10" width="23.75"/>
    <col customWidth="1" min="11" max="11" width="18.38"/>
    <col customWidth="1" min="12" max="12" width="38.13"/>
    <col customWidth="1" min="13" max="13" width="15.75"/>
    <col customWidth="1" min="14" max="14" width="3.13"/>
    <col customWidth="1" min="15" max="15" width="13.0"/>
    <col customWidth="1" min="16" max="16" width="48.63"/>
    <col customWidth="1" min="17" max="17" width="51.63"/>
    <col customWidth="1" min="18" max="18" width="26.25"/>
    <col customWidth="1" min="20" max="20" width="37.63"/>
    <col customWidth="1" min="21" max="21" width="17.88"/>
    <col customWidth="1" min="22" max="22" width="16.0"/>
    <col customWidth="1" min="32" max="32" width="28.63"/>
  </cols>
  <sheetData>
    <row r="1">
      <c r="A1" s="13" t="s">
        <v>23</v>
      </c>
      <c r="B1" s="14" t="s">
        <v>29</v>
      </c>
      <c r="C1" s="14" t="s">
        <v>30</v>
      </c>
      <c r="D1" s="14" t="s">
        <v>31</v>
      </c>
      <c r="E1" s="14" t="s">
        <v>33</v>
      </c>
      <c r="F1" s="14" t="s">
        <v>34</v>
      </c>
      <c r="G1" s="17" t="s">
        <v>35</v>
      </c>
      <c r="H1" s="19" t="s">
        <v>36</v>
      </c>
      <c r="I1" s="20" t="s">
        <v>39</v>
      </c>
      <c r="J1" s="21" t="s">
        <v>40</v>
      </c>
      <c r="K1" s="22" t="s">
        <v>41</v>
      </c>
      <c r="L1" s="8"/>
      <c r="M1" s="23"/>
      <c r="N1" s="23"/>
      <c r="O1" s="23"/>
      <c r="P1" s="24" t="s">
        <v>42</v>
      </c>
      <c r="Q1" s="25">
        <f>COUNTIF(E25:E55,"&gt;9:10")</f>
        <v>11</v>
      </c>
    </row>
    <row r="2">
      <c r="A2" s="27">
        <f>COUNTIF($A$25:$A$55,1)</f>
        <v>5</v>
      </c>
      <c r="B2" s="29" t="s">
        <v>47</v>
      </c>
      <c r="C2" s="30">
        <v>0.375</v>
      </c>
      <c r="D2" s="31">
        <v>0.5416666666666666</v>
      </c>
      <c r="E2" s="33" t="s">
        <v>48</v>
      </c>
      <c r="F2" s="37">
        <f t="shared" ref="F2:F15" si="1">IFERROR((D2-C2)*24,0)</f>
        <v>4</v>
      </c>
      <c r="G2" s="27">
        <f>IFERROR(F2+F3,0)</f>
        <v>11</v>
      </c>
      <c r="H2" s="43">
        <f>IFERROR(D2-C2,0)+IFERROR(D3-C3,0)</f>
        <v>0.4583333333</v>
      </c>
      <c r="I2" s="44">
        <f>A2*G2</f>
        <v>55</v>
      </c>
      <c r="J2" s="21" t="s">
        <v>58</v>
      </c>
      <c r="K2" s="22" t="s">
        <v>59</v>
      </c>
      <c r="L2" s="8"/>
      <c r="M2" s="23"/>
      <c r="N2" s="23"/>
      <c r="O2" s="23"/>
      <c r="P2" s="47" t="s">
        <v>61</v>
      </c>
      <c r="Q2" s="48">
        <v>3.0</v>
      </c>
    </row>
    <row r="3">
      <c r="A3" s="50"/>
      <c r="B3" s="29" t="s">
        <v>47</v>
      </c>
      <c r="C3" s="51">
        <v>0.5416666666666666</v>
      </c>
      <c r="D3" s="31">
        <v>0.8333333333333334</v>
      </c>
      <c r="E3" s="33" t="s">
        <v>48</v>
      </c>
      <c r="F3" s="37">
        <f t="shared" si="1"/>
        <v>7</v>
      </c>
      <c r="G3" s="50"/>
      <c r="H3" s="50"/>
      <c r="I3" s="50"/>
      <c r="J3" s="21" t="s">
        <v>64</v>
      </c>
      <c r="K3" s="22" t="s">
        <v>65</v>
      </c>
      <c r="L3" s="8"/>
      <c r="M3" s="23"/>
      <c r="N3" s="23"/>
      <c r="O3" s="23"/>
      <c r="P3" s="47" t="s">
        <v>66</v>
      </c>
      <c r="Q3" s="54">
        <v>4.0</v>
      </c>
      <c r="R3" s="55" t="s">
        <v>67</v>
      </c>
      <c r="T3" s="56" t="s">
        <v>68</v>
      </c>
      <c r="U3" s="57">
        <f>B20</f>
        <v>165</v>
      </c>
    </row>
    <row r="4">
      <c r="A4" s="59">
        <f>COUNTIF($A$25:$A$55,2)</f>
        <v>5</v>
      </c>
      <c r="B4" s="60" t="s">
        <v>71</v>
      </c>
      <c r="C4" s="30">
        <v>0.375</v>
      </c>
      <c r="D4" s="31">
        <v>0.5416666666666666</v>
      </c>
      <c r="E4" s="62" t="s">
        <v>48</v>
      </c>
      <c r="F4" s="63">
        <f t="shared" si="1"/>
        <v>4</v>
      </c>
      <c r="G4" s="59">
        <f>IFERROR(F4+F5,0)</f>
        <v>11</v>
      </c>
      <c r="H4" s="43">
        <f>IFERROR(D4-C4,0)+IFERROR(D5-C5,0)</f>
        <v>0.4583333333</v>
      </c>
      <c r="I4" s="66">
        <f>A4*G4</f>
        <v>55</v>
      </c>
      <c r="M4" s="23"/>
      <c r="N4" s="23"/>
      <c r="O4" s="23"/>
      <c r="P4" s="47" t="s">
        <v>75</v>
      </c>
      <c r="Q4" s="48">
        <f>Q1-Q2-Q3</f>
        <v>4</v>
      </c>
      <c r="T4" s="56" t="s">
        <v>80</v>
      </c>
      <c r="U4" s="73">
        <f>U3*PARAMETROS!G5</f>
        <v>7500</v>
      </c>
      <c r="X4" s="75"/>
    </row>
    <row r="5">
      <c r="A5" s="50"/>
      <c r="B5" s="60" t="s">
        <v>71</v>
      </c>
      <c r="C5" s="51">
        <v>0.5416666666666666</v>
      </c>
      <c r="D5" s="31">
        <v>0.8333333333333334</v>
      </c>
      <c r="E5" s="62" t="s">
        <v>48</v>
      </c>
      <c r="F5" s="63">
        <f t="shared" si="1"/>
        <v>7</v>
      </c>
      <c r="G5" s="50"/>
      <c r="H5" s="50"/>
      <c r="I5" s="50"/>
      <c r="J5" s="5" t="s">
        <v>85</v>
      </c>
      <c r="M5" s="23"/>
      <c r="N5" s="23"/>
      <c r="O5" s="23"/>
      <c r="P5" s="47" t="s">
        <v>87</v>
      </c>
      <c r="Q5" s="48"/>
      <c r="T5" s="56" t="s">
        <v>88</v>
      </c>
      <c r="U5" s="73">
        <f>B19</f>
        <v>33</v>
      </c>
    </row>
    <row r="6">
      <c r="A6" s="27">
        <f>COUNTIF($A$25:$A$55,3)</f>
        <v>5</v>
      </c>
      <c r="B6" s="29" t="s">
        <v>90</v>
      </c>
      <c r="C6" s="30">
        <v>0.375</v>
      </c>
      <c r="D6" s="31">
        <v>0.5416666666666666</v>
      </c>
      <c r="E6" s="33" t="s">
        <v>48</v>
      </c>
      <c r="F6" s="37">
        <f t="shared" si="1"/>
        <v>4</v>
      </c>
      <c r="G6" s="27">
        <f>IFERROR(F6+F7,0)</f>
        <v>11</v>
      </c>
      <c r="H6" s="43">
        <f>IFERROR(D6-C6,0)+IFERROR(D7-C7,0)</f>
        <v>0.4583333333</v>
      </c>
      <c r="I6" s="44">
        <f>A6*G6</f>
        <v>55</v>
      </c>
      <c r="M6" s="23"/>
      <c r="N6" s="23"/>
      <c r="O6" s="23"/>
      <c r="P6" s="92" t="s">
        <v>93</v>
      </c>
      <c r="Q6" s="111">
        <f>(Q4+Q5)*5</f>
        <v>20</v>
      </c>
      <c r="T6" s="112" t="s">
        <v>100</v>
      </c>
      <c r="U6" s="113">
        <f>U5*PARAMETROS!G5</f>
        <v>1500</v>
      </c>
      <c r="V6" s="114">
        <f t="shared" ref="V6:V7" si="2">U6*4</f>
        <v>6000</v>
      </c>
    </row>
    <row r="7">
      <c r="A7" s="50"/>
      <c r="B7" s="29" t="s">
        <v>90</v>
      </c>
      <c r="C7" s="51">
        <v>0.5416666666666666</v>
      </c>
      <c r="D7" s="31">
        <v>0.8333333333333334</v>
      </c>
      <c r="E7" s="33" t="s">
        <v>48</v>
      </c>
      <c r="F7" s="37">
        <f t="shared" si="1"/>
        <v>7</v>
      </c>
      <c r="G7" s="50"/>
      <c r="H7" s="50"/>
      <c r="I7" s="50"/>
      <c r="L7" s="115"/>
      <c r="M7" s="23"/>
      <c r="N7" s="23"/>
      <c r="O7" s="23"/>
      <c r="P7" s="116" t="s">
        <v>101</v>
      </c>
      <c r="Q7" s="117">
        <f>COUNTIF(E25:E55,"=0:00")</f>
        <v>0</v>
      </c>
      <c r="T7" s="112" t="s">
        <v>102</v>
      </c>
      <c r="U7" s="113">
        <f>U6*85%</f>
        <v>1275</v>
      </c>
      <c r="V7" s="114">
        <f t="shared" si="2"/>
        <v>5100</v>
      </c>
    </row>
    <row r="8">
      <c r="A8" s="59">
        <f>COUNTIF($A$25:$A$55,4)</f>
        <v>4</v>
      </c>
      <c r="B8" s="60" t="s">
        <v>103</v>
      </c>
      <c r="C8" s="118" t="s">
        <v>104</v>
      </c>
      <c r="D8" s="119" t="s">
        <v>104</v>
      </c>
      <c r="E8" s="62" t="s">
        <v>105</v>
      </c>
      <c r="F8" s="63">
        <f t="shared" si="1"/>
        <v>0</v>
      </c>
      <c r="G8" s="59">
        <f>IFERROR(F8+F9,0)</f>
        <v>0</v>
      </c>
      <c r="H8" s="43">
        <f>IFERROR(D8-C8,0)+IFERROR(D9-C9,0)</f>
        <v>0</v>
      </c>
      <c r="I8" s="66">
        <f>A8*G8</f>
        <v>0</v>
      </c>
      <c r="L8" s="115"/>
      <c r="M8" s="23"/>
      <c r="N8" s="23"/>
      <c r="O8" s="23"/>
      <c r="P8" s="116" t="s">
        <v>106</v>
      </c>
      <c r="Q8" s="120">
        <v>0.0</v>
      </c>
      <c r="R8" s="55" t="s">
        <v>67</v>
      </c>
    </row>
    <row r="9">
      <c r="A9" s="50"/>
      <c r="B9" s="60" t="s">
        <v>103</v>
      </c>
      <c r="C9" s="118" t="s">
        <v>104</v>
      </c>
      <c r="D9" s="119" t="s">
        <v>104</v>
      </c>
      <c r="E9" s="62" t="s">
        <v>48</v>
      </c>
      <c r="F9" s="63">
        <f t="shared" si="1"/>
        <v>0</v>
      </c>
      <c r="G9" s="50"/>
      <c r="H9" s="50"/>
      <c r="I9" s="50"/>
      <c r="J9" s="121">
        <f>F2+F3</f>
        <v>11</v>
      </c>
      <c r="L9" s="115"/>
      <c r="M9" s="23"/>
      <c r="N9" s="23"/>
      <c r="O9" s="23"/>
      <c r="P9" s="116" t="s">
        <v>107</v>
      </c>
      <c r="Q9" s="122">
        <f>Q7-Q8</f>
        <v>0</v>
      </c>
    </row>
    <row r="10">
      <c r="A10" s="27">
        <f>COUNTIF($A$25:$A$55,5)</f>
        <v>4</v>
      </c>
      <c r="B10" s="29" t="s">
        <v>108</v>
      </c>
      <c r="C10" s="118" t="s">
        <v>104</v>
      </c>
      <c r="D10" s="119" t="s">
        <v>104</v>
      </c>
      <c r="E10" s="33" t="s">
        <v>109</v>
      </c>
      <c r="F10" s="37">
        <f t="shared" si="1"/>
        <v>0</v>
      </c>
      <c r="G10" s="27">
        <f>IFERROR(F10+F11,0)</f>
        <v>0</v>
      </c>
      <c r="H10" s="43">
        <f>IFERROR(D10-C10,0)+IFERROR(D11-C11,0)</f>
        <v>0</v>
      </c>
      <c r="I10" s="44">
        <f>A10*G10</f>
        <v>0</v>
      </c>
      <c r="L10" s="115"/>
      <c r="M10" s="23"/>
      <c r="N10" s="23"/>
      <c r="O10" s="23"/>
      <c r="P10" s="123" t="s">
        <v>110</v>
      </c>
      <c r="Q10" s="124">
        <f>Q9</f>
        <v>0</v>
      </c>
      <c r="R10" s="125"/>
      <c r="X10" s="126"/>
      <c r="Y10" s="126"/>
      <c r="Z10" s="127" t="s">
        <v>111</v>
      </c>
      <c r="AA10" s="127" t="s">
        <v>111</v>
      </c>
      <c r="AB10" s="127" t="s">
        <v>111</v>
      </c>
      <c r="AC10" s="127" t="s">
        <v>111</v>
      </c>
    </row>
    <row r="11">
      <c r="A11" s="50"/>
      <c r="B11" s="29" t="s">
        <v>108</v>
      </c>
      <c r="C11" s="118" t="s">
        <v>104</v>
      </c>
      <c r="D11" s="119" t="s">
        <v>104</v>
      </c>
      <c r="E11" s="33" t="s">
        <v>48</v>
      </c>
      <c r="F11" s="37">
        <f t="shared" si="1"/>
        <v>0</v>
      </c>
      <c r="G11" s="50"/>
      <c r="H11" s="50"/>
      <c r="I11" s="50"/>
      <c r="K11" s="5">
        <v>470.0</v>
      </c>
      <c r="L11" s="128"/>
      <c r="M11" s="23"/>
      <c r="N11" s="23"/>
      <c r="O11" s="23"/>
      <c r="P11" s="129" t="s">
        <v>112</v>
      </c>
      <c r="Q11" s="130">
        <v>3.0</v>
      </c>
      <c r="R11" s="55" t="s">
        <v>67</v>
      </c>
      <c r="X11" s="126"/>
      <c r="Y11" s="127" t="s">
        <v>113</v>
      </c>
      <c r="Z11" s="131">
        <f>D25</f>
        <v>45824</v>
      </c>
      <c r="AA11" s="131">
        <f>D32</f>
        <v>45831</v>
      </c>
      <c r="AB11" s="131">
        <f>D39</f>
        <v>45838</v>
      </c>
      <c r="AC11" s="131">
        <f>D46</f>
        <v>45845</v>
      </c>
    </row>
    <row r="12" ht="23.25" customHeight="1">
      <c r="A12" s="59">
        <f>COUNTIF($A$25:$A$55,6)</f>
        <v>4</v>
      </c>
      <c r="B12" s="60" t="s">
        <v>114</v>
      </c>
      <c r="C12" s="118" t="s">
        <v>104</v>
      </c>
      <c r="D12" s="119" t="s">
        <v>104</v>
      </c>
      <c r="E12" s="62" t="s">
        <v>48</v>
      </c>
      <c r="F12" s="63">
        <f t="shared" si="1"/>
        <v>0</v>
      </c>
      <c r="G12" s="59">
        <f>IFERROR(F12+F13,0)</f>
        <v>0</v>
      </c>
      <c r="H12" s="43">
        <f>IFERROR(D12-C12,0)+IFERROR(D13-C13,0)</f>
        <v>0</v>
      </c>
      <c r="I12" s="66">
        <f>A12*G12</f>
        <v>0</v>
      </c>
      <c r="L12" s="128"/>
      <c r="M12" s="23"/>
      <c r="N12" s="23"/>
      <c r="O12" s="23"/>
      <c r="P12" s="129" t="s">
        <v>115</v>
      </c>
      <c r="Q12" s="132">
        <v>8.0</v>
      </c>
      <c r="R12" s="55" t="s">
        <v>67</v>
      </c>
      <c r="T12" s="133" t="s">
        <v>116</v>
      </c>
      <c r="X12" s="126"/>
      <c r="Y12" s="127" t="s">
        <v>117</v>
      </c>
      <c r="Z12" s="134">
        <f>D31</f>
        <v>45830</v>
      </c>
      <c r="AA12" s="134">
        <f>D38</f>
        <v>45837</v>
      </c>
      <c r="AB12" s="134">
        <f>D45</f>
        <v>45844</v>
      </c>
      <c r="AC12" s="134">
        <f>D52</f>
        <v>45851</v>
      </c>
    </row>
    <row r="13" ht="28.5" customHeight="1">
      <c r="A13" s="50"/>
      <c r="B13" s="60" t="s">
        <v>114</v>
      </c>
      <c r="C13" s="135" t="s">
        <v>104</v>
      </c>
      <c r="D13" s="136" t="s">
        <v>104</v>
      </c>
      <c r="E13" s="62" t="s">
        <v>48</v>
      </c>
      <c r="F13" s="63">
        <f t="shared" si="1"/>
        <v>0</v>
      </c>
      <c r="G13" s="50"/>
      <c r="H13" s="50"/>
      <c r="I13" s="50"/>
      <c r="N13" s="23"/>
      <c r="O13" s="23"/>
      <c r="P13" s="137" t="s">
        <v>118</v>
      </c>
      <c r="Q13" s="138">
        <v>2.0</v>
      </c>
      <c r="R13" s="55" t="s">
        <v>67</v>
      </c>
      <c r="T13" s="139" t="s">
        <v>119</v>
      </c>
      <c r="U13" s="139" t="s">
        <v>120</v>
      </c>
      <c r="V13" s="139" t="s">
        <v>121</v>
      </c>
      <c r="X13" s="140" t="s">
        <v>122</v>
      </c>
    </row>
    <row r="14" ht="33.75" customHeight="1">
      <c r="A14" s="27">
        <f>COUNTIF($A$25:$A$55,7)</f>
        <v>4</v>
      </c>
      <c r="B14" s="29" t="s">
        <v>123</v>
      </c>
      <c r="C14" s="135" t="s">
        <v>104</v>
      </c>
      <c r="D14" s="136" t="s">
        <v>104</v>
      </c>
      <c r="E14" s="33" t="s">
        <v>48</v>
      </c>
      <c r="F14" s="37">
        <f t="shared" si="1"/>
        <v>0</v>
      </c>
      <c r="G14" s="141">
        <f>IFERROR(F14+F15,0)</f>
        <v>0</v>
      </c>
      <c r="H14" s="43">
        <f>IFERROR(D14-C14,0)+IFERROR(D15-C15,0)</f>
        <v>0</v>
      </c>
      <c r="I14" s="44">
        <f>A14*G14</f>
        <v>0</v>
      </c>
      <c r="K14" s="5">
        <f>514/2.9</f>
        <v>177.2413793</v>
      </c>
      <c r="N14" s="23"/>
      <c r="O14" s="23"/>
      <c r="P14" s="142" t="s">
        <v>124</v>
      </c>
      <c r="Q14" s="143">
        <f>B23-Q12</f>
        <v>19</v>
      </c>
      <c r="R14" s="55" t="s">
        <v>67</v>
      </c>
      <c r="T14" s="144" t="str">
        <f>T24</f>
        <v>LUCE BIEN 1
(REDENTOR)</v>
      </c>
      <c r="U14" s="145">
        <v>400.0</v>
      </c>
      <c r="V14" s="145">
        <v>500.0</v>
      </c>
      <c r="X14" s="146" t="s">
        <v>119</v>
      </c>
      <c r="Y14" s="46"/>
      <c r="Z14" s="147" t="s">
        <v>125</v>
      </c>
      <c r="AA14" s="147" t="s">
        <v>126</v>
      </c>
      <c r="AB14" s="147" t="s">
        <v>127</v>
      </c>
      <c r="AC14" s="147" t="s">
        <v>128</v>
      </c>
    </row>
    <row r="15" ht="33.75" customHeight="1">
      <c r="A15" s="50"/>
      <c r="B15" s="29" t="s">
        <v>123</v>
      </c>
      <c r="C15" s="135" t="s">
        <v>104</v>
      </c>
      <c r="D15" s="136" t="s">
        <v>104</v>
      </c>
      <c r="E15" s="33" t="s">
        <v>48</v>
      </c>
      <c r="F15" s="37">
        <f t="shared" si="1"/>
        <v>0</v>
      </c>
      <c r="G15" s="148"/>
      <c r="H15" s="50"/>
      <c r="I15" s="50"/>
      <c r="N15" s="23"/>
      <c r="O15" s="23"/>
      <c r="T15" s="144" t="str">
        <f>T30</f>
        <v>LUCEBIEN 2
(ESQUINA)</v>
      </c>
      <c r="U15" s="145">
        <v>1200.0</v>
      </c>
      <c r="V15" s="149"/>
      <c r="X15" s="150" t="str">
        <f t="shared" ref="X15:X19" si="3">T14</f>
        <v>LUCE BIEN 1
(REDENTOR)</v>
      </c>
      <c r="Y15" s="46"/>
      <c r="Z15" s="149"/>
      <c r="AA15" s="149"/>
      <c r="AB15" s="149"/>
      <c r="AC15" s="149"/>
    </row>
    <row r="16">
      <c r="A16" s="151" t="s">
        <v>129</v>
      </c>
      <c r="B16" s="152">
        <f>B18*B20</f>
        <v>478.5</v>
      </c>
      <c r="C16" s="153"/>
      <c r="D16" s="154" t="s">
        <v>1</v>
      </c>
      <c r="E16" s="6"/>
      <c r="F16" s="6"/>
      <c r="G16" s="6"/>
      <c r="H16" s="6"/>
      <c r="I16" s="6"/>
      <c r="J16" s="8"/>
      <c r="K16" s="155" t="s">
        <v>62</v>
      </c>
      <c r="L16" s="8"/>
      <c r="M16" s="23"/>
      <c r="N16" s="23"/>
      <c r="O16" s="156" t="s">
        <v>130</v>
      </c>
      <c r="P16" s="156" t="s">
        <v>131</v>
      </c>
      <c r="Q16" s="157"/>
      <c r="R16" s="158" t="s">
        <v>132</v>
      </c>
      <c r="T16" s="144" t="str">
        <f>T36</f>
        <v>LUCEBIEN 3
TRECE</v>
      </c>
      <c r="U16" s="145">
        <v>100.0</v>
      </c>
      <c r="V16" s="145">
        <v>2000.0</v>
      </c>
      <c r="X16" s="150" t="str">
        <f t="shared" si="3"/>
        <v>LUCEBIEN 2
(ESQUINA)</v>
      </c>
      <c r="Y16" s="46"/>
      <c r="Z16" s="149"/>
      <c r="AA16" s="149"/>
      <c r="AB16" s="149"/>
      <c r="AC16" s="149"/>
    </row>
    <row r="17">
      <c r="A17" s="151" t="s">
        <v>133</v>
      </c>
      <c r="B17" s="152">
        <f>B16/B23</f>
        <v>17.72222222</v>
      </c>
      <c r="C17" s="153"/>
      <c r="D17" s="159" t="s">
        <v>134</v>
      </c>
      <c r="E17" s="6"/>
      <c r="F17" s="6"/>
      <c r="G17" s="6"/>
      <c r="H17" s="6"/>
      <c r="I17" s="8"/>
      <c r="J17" s="160">
        <v>1650.0</v>
      </c>
      <c r="K17" s="161" t="s">
        <v>135</v>
      </c>
      <c r="L17" s="162">
        <v>600.0</v>
      </c>
      <c r="M17" s="23"/>
      <c r="N17" s="23"/>
      <c r="O17" s="148"/>
      <c r="P17" s="163" t="s">
        <v>136</v>
      </c>
      <c r="Q17" s="164" t="s">
        <v>137</v>
      </c>
      <c r="R17" s="50"/>
      <c r="T17" s="144" t="str">
        <f>T42</f>
        <v>ONLINE</v>
      </c>
      <c r="U17" s="149"/>
      <c r="V17" s="149"/>
      <c r="X17" s="150" t="str">
        <f t="shared" si="3"/>
        <v>LUCEBIEN 3
TRECE</v>
      </c>
      <c r="Y17" s="46"/>
      <c r="Z17" s="149"/>
      <c r="AA17" s="149"/>
      <c r="AB17" s="149"/>
      <c r="AC17" s="149"/>
    </row>
    <row r="18" ht="35.25" customHeight="1">
      <c r="A18" s="151" t="s">
        <v>138</v>
      </c>
      <c r="B18" s="152">
        <f>PARAMETROS!C4</f>
        <v>2.9</v>
      </c>
      <c r="C18" s="153"/>
      <c r="D18" s="159" t="s">
        <v>139</v>
      </c>
      <c r="E18" s="6"/>
      <c r="F18" s="6"/>
      <c r="G18" s="6"/>
      <c r="H18" s="6"/>
      <c r="I18" s="8"/>
      <c r="J18" s="165">
        <v>4800.0</v>
      </c>
      <c r="K18" s="166" t="s">
        <v>140</v>
      </c>
      <c r="L18" s="167">
        <f>L17/B23</f>
        <v>22.22222222</v>
      </c>
      <c r="N18" s="23"/>
      <c r="O18" s="168"/>
      <c r="P18" s="169" t="s">
        <v>141</v>
      </c>
      <c r="Q18" s="169" t="s">
        <v>142</v>
      </c>
      <c r="R18" s="169">
        <v>20.0</v>
      </c>
      <c r="T18" s="144" t="str">
        <f>T48</f>
        <v>STAN (101-
102)</v>
      </c>
      <c r="U18" s="145">
        <v>100.0</v>
      </c>
      <c r="V18" s="149"/>
      <c r="X18" s="150" t="str">
        <f t="shared" si="3"/>
        <v>ONLINE</v>
      </c>
      <c r="Y18" s="46"/>
      <c r="Z18" s="149"/>
      <c r="AA18" s="149"/>
      <c r="AB18" s="149"/>
      <c r="AC18" s="149"/>
    </row>
    <row r="19">
      <c r="A19" s="170" t="s">
        <v>143</v>
      </c>
      <c r="B19" s="171">
        <f>SUM(G2:G15)</f>
        <v>33</v>
      </c>
      <c r="C19" s="8"/>
      <c r="D19" s="159"/>
      <c r="E19" s="6"/>
      <c r="F19" s="6"/>
      <c r="G19" s="6"/>
      <c r="H19" s="6"/>
      <c r="I19" s="8"/>
      <c r="J19" s="165"/>
      <c r="K19" s="166" t="s">
        <v>144</v>
      </c>
      <c r="L19" s="172">
        <f>L18/L22</f>
        <v>3.636363636</v>
      </c>
      <c r="M19" s="23"/>
      <c r="N19" s="23"/>
      <c r="O19" s="168"/>
      <c r="P19" s="80"/>
      <c r="Q19" s="80"/>
      <c r="R19" s="80"/>
      <c r="T19" s="144" t="str">
        <f>T54</f>
        <v>FERIA</v>
      </c>
      <c r="U19" s="149"/>
      <c r="V19" s="149"/>
      <c r="X19" s="150" t="str">
        <f t="shared" si="3"/>
        <v>STAN (101-
102)</v>
      </c>
      <c r="Y19" s="46"/>
      <c r="Z19" s="145">
        <v>1800.0</v>
      </c>
      <c r="AA19" s="145">
        <v>1800.0</v>
      </c>
      <c r="AB19" s="145">
        <v>1800.0</v>
      </c>
      <c r="AC19" s="145">
        <v>1800.0</v>
      </c>
    </row>
    <row r="20">
      <c r="A20" s="173" t="s">
        <v>145</v>
      </c>
      <c r="B20" s="171">
        <f>SUM(I2:I15)</f>
        <v>165</v>
      </c>
      <c r="C20" s="8"/>
      <c r="D20" s="159"/>
      <c r="E20" s="6"/>
      <c r="F20" s="6"/>
      <c r="G20" s="6"/>
      <c r="H20" s="6"/>
      <c r="I20" s="8"/>
      <c r="J20" s="165"/>
      <c r="K20" s="166" t="s">
        <v>146</v>
      </c>
      <c r="L20" s="174" t="s">
        <v>146</v>
      </c>
      <c r="M20" s="23"/>
      <c r="N20" s="23"/>
      <c r="O20" s="80"/>
      <c r="P20" s="80"/>
      <c r="Q20" s="80"/>
      <c r="R20" s="80"/>
      <c r="T20" s="175" t="s">
        <v>147</v>
      </c>
      <c r="U20" s="176">
        <f t="shared" ref="U20:V20" si="4">U14+U15+U16+U17+U18</f>
        <v>1800</v>
      </c>
      <c r="V20" s="176">
        <f t="shared" si="4"/>
        <v>2500</v>
      </c>
      <c r="X20" s="177" t="s">
        <v>147</v>
      </c>
      <c r="Y20" s="46"/>
      <c r="Z20" s="176">
        <f t="shared" ref="Z20:AC20" si="5">Z15+Z16+Z17+Z18+Z19</f>
        <v>1800</v>
      </c>
      <c r="AA20" s="176">
        <f t="shared" si="5"/>
        <v>1800</v>
      </c>
      <c r="AB20" s="176">
        <f t="shared" si="5"/>
        <v>1800</v>
      </c>
      <c r="AC20" s="176">
        <f t="shared" si="5"/>
        <v>1800</v>
      </c>
    </row>
    <row r="21">
      <c r="A21" s="173" t="s">
        <v>148</v>
      </c>
      <c r="B21" s="178">
        <f>B20/B23</f>
        <v>6.111111111</v>
      </c>
      <c r="C21" s="8"/>
      <c r="D21" s="159"/>
      <c r="E21" s="6"/>
      <c r="F21" s="6"/>
      <c r="G21" s="6"/>
      <c r="H21" s="6"/>
      <c r="I21" s="8"/>
      <c r="J21" s="165"/>
      <c r="K21" s="166" t="s">
        <v>149</v>
      </c>
      <c r="L21" s="179">
        <f>L22*B23</f>
        <v>165</v>
      </c>
      <c r="M21" s="180"/>
      <c r="O21" s="80"/>
      <c r="P21" s="80"/>
      <c r="Q21" s="80"/>
      <c r="R21" s="80"/>
      <c r="T21" s="181" t="s">
        <v>150</v>
      </c>
      <c r="U21" s="182">
        <f>U20+V20</f>
        <v>4300</v>
      </c>
      <c r="V21" s="46"/>
      <c r="X21" s="183" t="s">
        <v>150</v>
      </c>
      <c r="Y21" s="46"/>
      <c r="Z21" s="182">
        <f>Z20+AA20+AB20+AC20</f>
        <v>7200</v>
      </c>
      <c r="AA21" s="184"/>
      <c r="AB21" s="184"/>
      <c r="AC21" s="46"/>
    </row>
    <row r="22">
      <c r="A22" s="173" t="s">
        <v>151</v>
      </c>
      <c r="B22" s="185" t="s">
        <v>146</v>
      </c>
      <c r="C22" s="8"/>
      <c r="D22" s="159"/>
      <c r="E22" s="6"/>
      <c r="F22" s="6"/>
      <c r="G22" s="6"/>
      <c r="H22" s="6"/>
      <c r="I22" s="8"/>
      <c r="J22" s="165"/>
      <c r="K22" s="166" t="s">
        <v>152</v>
      </c>
      <c r="L22" s="179">
        <f>B21</f>
        <v>6.111111111</v>
      </c>
      <c r="M22" s="23"/>
      <c r="N22" s="23"/>
      <c r="O22" s="80"/>
      <c r="P22" s="80"/>
      <c r="Q22" s="80"/>
      <c r="R22" s="80"/>
    </row>
    <row r="23">
      <c r="A23" s="173" t="s">
        <v>153</v>
      </c>
      <c r="B23" s="186">
        <f>A2+A4+A6+A8+A10+A12</f>
        <v>27</v>
      </c>
      <c r="C23" s="8"/>
      <c r="D23" s="159"/>
      <c r="E23" s="6"/>
      <c r="F23" s="6"/>
      <c r="G23" s="6"/>
      <c r="H23" s="6"/>
      <c r="I23" s="8"/>
      <c r="J23" s="165"/>
      <c r="K23" s="166" t="s">
        <v>146</v>
      </c>
      <c r="L23" s="179" t="s">
        <v>146</v>
      </c>
      <c r="N23" s="23"/>
      <c r="O23" s="187" t="s">
        <v>154</v>
      </c>
      <c r="P23" s="184"/>
      <c r="Q23" s="46"/>
      <c r="R23" s="188">
        <f>-(R18+R19+R20+R21+R22)</f>
        <v>-20</v>
      </c>
    </row>
    <row r="24">
      <c r="A24" s="189" t="s">
        <v>155</v>
      </c>
      <c r="B24" s="190" t="s">
        <v>156</v>
      </c>
      <c r="C24" s="191" t="s">
        <v>29</v>
      </c>
      <c r="D24" s="191" t="s">
        <v>130</v>
      </c>
      <c r="E24" s="192" t="s">
        <v>157</v>
      </c>
      <c r="F24" s="192" t="s">
        <v>158</v>
      </c>
      <c r="G24" s="193" t="s">
        <v>159</v>
      </c>
      <c r="H24" s="194" t="s">
        <v>160</v>
      </c>
      <c r="I24" s="193" t="s">
        <v>161</v>
      </c>
      <c r="J24" s="193" t="s">
        <v>162</v>
      </c>
      <c r="K24" s="191" t="s">
        <v>163</v>
      </c>
      <c r="L24" s="195" t="s">
        <v>57</v>
      </c>
      <c r="N24" s="23"/>
      <c r="P24" s="23"/>
      <c r="Q24" s="23"/>
      <c r="R24" s="180"/>
      <c r="T24" s="196" t="s">
        <v>164</v>
      </c>
      <c r="U24" s="197"/>
      <c r="V24" s="198"/>
      <c r="W24" s="198"/>
      <c r="X24" s="198"/>
      <c r="Y24" s="198"/>
      <c r="Z24" s="198"/>
      <c r="AA24" s="198"/>
      <c r="AB24" s="198"/>
      <c r="AC24" s="198"/>
      <c r="AD24" s="198"/>
      <c r="AE24" s="198"/>
      <c r="AF24" s="199">
        <f>SUM(U24:AE29)</f>
        <v>0</v>
      </c>
    </row>
    <row r="25" ht="39.0" customHeight="1">
      <c r="A25" s="200">
        <f t="shared" ref="A25:A55" si="6">WEEKDAY(D25,2)</f>
        <v>1</v>
      </c>
      <c r="B25" s="201">
        <v>1.0</v>
      </c>
      <c r="C25" s="202">
        <f t="shared" ref="C25:C55" si="7">D25</f>
        <v>45824</v>
      </c>
      <c r="D25" s="203">
        <v>45824.0</v>
      </c>
      <c r="E25" s="204">
        <v>0.38263888888888886</v>
      </c>
      <c r="F25" s="205">
        <v>0.8541666666666666</v>
      </c>
      <c r="G25" s="206">
        <f t="shared" ref="G25:G55" si="8">F25-E25</f>
        <v>0.4715277778</v>
      </c>
      <c r="H25" s="207">
        <f t="shared" ref="H25:H55" si="9">IF(A25=1,$H$2,IF(A25=2,$H$4,IF(A25=3,$H$6,IF(A25=4,$H$8,IF(A25=5,$H$10,IF(A25=6,$H$12,IF(A25=7,$H$14)))))))</f>
        <v>0.4583333333</v>
      </c>
      <c r="I25" s="206">
        <f t="shared" ref="I25:I55" si="10">G25-H25</f>
        <v>0.01319444444</v>
      </c>
      <c r="J25" s="208">
        <f t="shared" ref="J25:J55" si="11">I25*$L$19*24</f>
        <v>1.151515152</v>
      </c>
      <c r="K25" s="209"/>
      <c r="L25" s="210"/>
      <c r="N25" s="23"/>
      <c r="O25" s="211" t="s">
        <v>165</v>
      </c>
      <c r="P25" s="184"/>
      <c r="Q25" s="184"/>
      <c r="R25" s="46"/>
      <c r="T25" s="93"/>
      <c r="U25" s="212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4"/>
    </row>
    <row r="26" ht="15.75" customHeight="1">
      <c r="A26" s="200">
        <f t="shared" si="6"/>
        <v>2</v>
      </c>
      <c r="B26" s="201">
        <v>2.0</v>
      </c>
      <c r="C26" s="202">
        <f t="shared" si="7"/>
        <v>45825</v>
      </c>
      <c r="D26" s="203">
        <v>45825.0</v>
      </c>
      <c r="E26" s="204">
        <v>0.38263888888888886</v>
      </c>
      <c r="F26" s="205">
        <v>0.8541666666666666</v>
      </c>
      <c r="G26" s="206">
        <f t="shared" si="8"/>
        <v>0.4715277778</v>
      </c>
      <c r="H26" s="207">
        <f t="shared" si="9"/>
        <v>0.4583333333</v>
      </c>
      <c r="I26" s="206">
        <f t="shared" si="10"/>
        <v>0.01319444444</v>
      </c>
      <c r="J26" s="208">
        <f t="shared" si="11"/>
        <v>1.151515152</v>
      </c>
      <c r="K26" s="209"/>
      <c r="L26" s="210"/>
      <c r="N26" s="23"/>
      <c r="O26" s="215" t="s">
        <v>130</v>
      </c>
      <c r="P26" s="216" t="s">
        <v>166</v>
      </c>
      <c r="Q26" s="46"/>
      <c r="R26" s="217" t="s">
        <v>132</v>
      </c>
      <c r="T26" s="93"/>
      <c r="U26" s="21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4"/>
    </row>
    <row r="27" ht="15.75" customHeight="1">
      <c r="A27" s="200">
        <f t="shared" si="6"/>
        <v>3</v>
      </c>
      <c r="B27" s="201">
        <v>3.0</v>
      </c>
      <c r="C27" s="202">
        <f t="shared" si="7"/>
        <v>45826</v>
      </c>
      <c r="D27" s="203">
        <v>45826.0</v>
      </c>
      <c r="E27" s="204">
        <v>0.375</v>
      </c>
      <c r="F27" s="205">
        <v>0.8541666666666666</v>
      </c>
      <c r="G27" s="206">
        <f t="shared" si="8"/>
        <v>0.4791666667</v>
      </c>
      <c r="H27" s="207">
        <f t="shared" si="9"/>
        <v>0.4583333333</v>
      </c>
      <c r="I27" s="206">
        <f t="shared" si="10"/>
        <v>0.02083333333</v>
      </c>
      <c r="J27" s="208">
        <f t="shared" si="11"/>
        <v>1.818181818</v>
      </c>
      <c r="K27" s="209"/>
      <c r="L27" s="210"/>
      <c r="N27" s="23"/>
      <c r="O27" s="218"/>
      <c r="P27" s="219"/>
      <c r="Q27" s="46"/>
      <c r="R27" s="220">
        <v>100.0</v>
      </c>
      <c r="T27" s="93"/>
      <c r="U27" s="21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4"/>
    </row>
    <row r="28" ht="15.75" customHeight="1">
      <c r="A28" s="200">
        <f t="shared" si="6"/>
        <v>4</v>
      </c>
      <c r="B28" s="201">
        <v>4.0</v>
      </c>
      <c r="C28" s="202">
        <f t="shared" si="7"/>
        <v>45827</v>
      </c>
      <c r="D28" s="203">
        <v>45827.0</v>
      </c>
      <c r="E28" s="204">
        <v>0.38263888888888886</v>
      </c>
      <c r="F28" s="205">
        <v>0.8541666666666666</v>
      </c>
      <c r="G28" s="206">
        <f t="shared" si="8"/>
        <v>0.4715277778</v>
      </c>
      <c r="H28" s="207">
        <f t="shared" si="9"/>
        <v>0</v>
      </c>
      <c r="I28" s="206">
        <f t="shared" si="10"/>
        <v>0.4715277778</v>
      </c>
      <c r="J28" s="208">
        <f t="shared" si="11"/>
        <v>41.15151515</v>
      </c>
      <c r="K28" s="209"/>
      <c r="L28" s="210"/>
      <c r="N28" s="23"/>
      <c r="O28" s="221"/>
      <c r="P28" s="222"/>
      <c r="Q28" s="110"/>
      <c r="R28" s="223">
        <v>20.0</v>
      </c>
      <c r="T28" s="93"/>
      <c r="U28" s="21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4"/>
    </row>
    <row r="29" ht="15.75" customHeight="1">
      <c r="A29" s="200">
        <f t="shared" si="6"/>
        <v>5</v>
      </c>
      <c r="B29" s="201">
        <v>5.0</v>
      </c>
      <c r="C29" s="202">
        <f t="shared" si="7"/>
        <v>45828</v>
      </c>
      <c r="D29" s="203">
        <v>45828.0</v>
      </c>
      <c r="E29" s="204"/>
      <c r="F29" s="205"/>
      <c r="G29" s="206">
        <f t="shared" si="8"/>
        <v>0</v>
      </c>
      <c r="H29" s="207">
        <f t="shared" si="9"/>
        <v>0</v>
      </c>
      <c r="I29" s="206">
        <f t="shared" si="10"/>
        <v>0</v>
      </c>
      <c r="J29" s="208">
        <f t="shared" si="11"/>
        <v>0</v>
      </c>
      <c r="K29" s="209"/>
      <c r="L29" s="210"/>
      <c r="N29" s="23"/>
      <c r="O29" s="224"/>
      <c r="P29" s="222"/>
      <c r="Q29" s="110"/>
      <c r="R29" s="223">
        <v>50.0</v>
      </c>
      <c r="T29" s="77"/>
      <c r="U29" s="225"/>
      <c r="V29" s="226"/>
      <c r="W29" s="226"/>
      <c r="X29" s="226"/>
      <c r="Y29" s="226"/>
      <c r="Z29" s="226"/>
      <c r="AA29" s="226"/>
      <c r="AB29" s="226"/>
      <c r="AC29" s="226"/>
      <c r="AD29" s="226"/>
      <c r="AE29" s="226"/>
      <c r="AF29" s="227"/>
    </row>
    <row r="30" ht="15.75" customHeight="1">
      <c r="A30" s="200">
        <f t="shared" si="6"/>
        <v>6</v>
      </c>
      <c r="B30" s="201">
        <v>6.0</v>
      </c>
      <c r="C30" s="202">
        <f t="shared" si="7"/>
        <v>45829</v>
      </c>
      <c r="D30" s="203">
        <v>45829.0</v>
      </c>
      <c r="E30" s="204"/>
      <c r="F30" s="205"/>
      <c r="G30" s="206">
        <f t="shared" si="8"/>
        <v>0</v>
      </c>
      <c r="H30" s="207">
        <f t="shared" si="9"/>
        <v>0</v>
      </c>
      <c r="I30" s="206">
        <f t="shared" si="10"/>
        <v>0</v>
      </c>
      <c r="J30" s="208">
        <f t="shared" si="11"/>
        <v>0</v>
      </c>
      <c r="K30" s="209"/>
      <c r="L30" s="210"/>
      <c r="N30" s="23"/>
      <c r="O30" s="228"/>
      <c r="P30" s="229"/>
      <c r="Q30" s="46"/>
      <c r="R30" s="230">
        <v>20.0</v>
      </c>
      <c r="T30" s="231" t="s">
        <v>167</v>
      </c>
      <c r="U30" s="232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199">
        <f>SUM(U30:AE35)</f>
        <v>0</v>
      </c>
    </row>
    <row r="31" ht="15.75" customHeight="1">
      <c r="A31" s="200">
        <f t="shared" si="6"/>
        <v>7</v>
      </c>
      <c r="B31" s="201">
        <v>7.0</v>
      </c>
      <c r="C31" s="202">
        <f t="shared" si="7"/>
        <v>45830</v>
      </c>
      <c r="D31" s="203">
        <v>45830.0</v>
      </c>
      <c r="E31" s="234"/>
      <c r="F31" s="235"/>
      <c r="G31" s="206">
        <f t="shared" si="8"/>
        <v>0</v>
      </c>
      <c r="H31" s="207">
        <f t="shared" si="9"/>
        <v>0</v>
      </c>
      <c r="I31" s="206">
        <f t="shared" si="10"/>
        <v>0</v>
      </c>
      <c r="J31" s="208">
        <f t="shared" si="11"/>
        <v>0</v>
      </c>
      <c r="K31" s="209"/>
      <c r="L31" s="210"/>
      <c r="N31" s="23"/>
      <c r="O31" s="228"/>
      <c r="P31" s="229"/>
      <c r="Q31" s="46"/>
      <c r="R31" s="236"/>
      <c r="T31" s="93"/>
      <c r="U31" s="237"/>
      <c r="V31" s="238"/>
      <c r="W31" s="238"/>
      <c r="X31" s="238"/>
      <c r="Y31" s="238"/>
      <c r="Z31" s="238"/>
      <c r="AA31" s="238"/>
      <c r="AB31" s="238"/>
      <c r="AC31" s="238"/>
      <c r="AD31" s="238"/>
      <c r="AE31" s="238"/>
      <c r="AF31" s="214"/>
    </row>
    <row r="32" ht="15.75" customHeight="1">
      <c r="A32" s="200">
        <f t="shared" si="6"/>
        <v>1</v>
      </c>
      <c r="B32" s="201">
        <v>8.0</v>
      </c>
      <c r="C32" s="202">
        <f t="shared" si="7"/>
        <v>45831</v>
      </c>
      <c r="D32" s="203">
        <v>45831.0</v>
      </c>
      <c r="E32" s="204">
        <v>0.38263888888888886</v>
      </c>
      <c r="F32" s="205">
        <v>0.8333333333333334</v>
      </c>
      <c r="G32" s="206">
        <f t="shared" si="8"/>
        <v>0.4506944444</v>
      </c>
      <c r="H32" s="207">
        <f t="shared" si="9"/>
        <v>0.4583333333</v>
      </c>
      <c r="I32" s="206">
        <f t="shared" si="10"/>
        <v>-0.007638888889</v>
      </c>
      <c r="J32" s="208">
        <f t="shared" si="11"/>
        <v>-0.6666666667</v>
      </c>
      <c r="K32" s="209"/>
      <c r="L32" s="210"/>
      <c r="N32" s="23"/>
      <c r="O32" s="239"/>
      <c r="P32" s="229"/>
      <c r="Q32" s="46"/>
      <c r="R32" s="236"/>
      <c r="T32" s="93"/>
      <c r="U32" s="237"/>
      <c r="V32" s="238"/>
      <c r="W32" s="238"/>
      <c r="X32" s="238"/>
      <c r="Y32" s="238"/>
      <c r="Z32" s="238"/>
      <c r="AA32" s="238"/>
      <c r="AB32" s="238"/>
      <c r="AC32" s="238"/>
      <c r="AD32" s="238"/>
      <c r="AE32" s="238"/>
      <c r="AF32" s="214"/>
    </row>
    <row r="33" ht="15.75" customHeight="1">
      <c r="A33" s="200">
        <f t="shared" si="6"/>
        <v>2</v>
      </c>
      <c r="B33" s="201">
        <v>9.0</v>
      </c>
      <c r="C33" s="202">
        <f t="shared" si="7"/>
        <v>45832</v>
      </c>
      <c r="D33" s="203">
        <v>45832.0</v>
      </c>
      <c r="E33" s="204">
        <v>0.38263888888888886</v>
      </c>
      <c r="F33" s="205">
        <v>0.8541666666666666</v>
      </c>
      <c r="G33" s="206">
        <f t="shared" si="8"/>
        <v>0.4715277778</v>
      </c>
      <c r="H33" s="207">
        <f t="shared" si="9"/>
        <v>0.4583333333</v>
      </c>
      <c r="I33" s="206">
        <f t="shared" si="10"/>
        <v>0.01319444444</v>
      </c>
      <c r="J33" s="208">
        <f t="shared" si="11"/>
        <v>1.151515152</v>
      </c>
      <c r="K33" s="209"/>
      <c r="L33" s="210"/>
      <c r="N33" s="23"/>
      <c r="O33" s="239"/>
      <c r="P33" s="229"/>
      <c r="Q33" s="46"/>
      <c r="R33" s="236"/>
      <c r="T33" s="93"/>
      <c r="U33" s="237"/>
      <c r="V33" s="238"/>
      <c r="W33" s="238"/>
      <c r="X33" s="238"/>
      <c r="Y33" s="238"/>
      <c r="Z33" s="238"/>
      <c r="AA33" s="238"/>
      <c r="AB33" s="238"/>
      <c r="AC33" s="238"/>
      <c r="AD33" s="238"/>
      <c r="AE33" s="240"/>
      <c r="AF33" s="214"/>
    </row>
    <row r="34" ht="15.75" customHeight="1">
      <c r="A34" s="200">
        <f t="shared" si="6"/>
        <v>3</v>
      </c>
      <c r="B34" s="201">
        <v>10.0</v>
      </c>
      <c r="C34" s="202">
        <f t="shared" si="7"/>
        <v>45833</v>
      </c>
      <c r="D34" s="203">
        <v>45833.0</v>
      </c>
      <c r="E34" s="204">
        <v>0.375</v>
      </c>
      <c r="F34" s="205">
        <v>0.8541666666666666</v>
      </c>
      <c r="G34" s="206">
        <f t="shared" si="8"/>
        <v>0.4791666667</v>
      </c>
      <c r="H34" s="207">
        <f t="shared" si="9"/>
        <v>0.4583333333</v>
      </c>
      <c r="I34" s="206">
        <f t="shared" si="10"/>
        <v>0.02083333333</v>
      </c>
      <c r="J34" s="208">
        <f t="shared" si="11"/>
        <v>1.818181818</v>
      </c>
      <c r="K34" s="209"/>
      <c r="L34" s="210"/>
      <c r="N34" s="23"/>
      <c r="O34" s="239"/>
      <c r="P34" s="229"/>
      <c r="Q34" s="46"/>
      <c r="R34" s="236"/>
      <c r="T34" s="93"/>
      <c r="U34" s="237"/>
      <c r="V34" s="238"/>
      <c r="W34" s="238"/>
      <c r="X34" s="238"/>
      <c r="Y34" s="238"/>
      <c r="Z34" s="238"/>
      <c r="AA34" s="238"/>
      <c r="AB34" s="238"/>
      <c r="AC34" s="238"/>
      <c r="AD34" s="238"/>
      <c r="AE34" s="240"/>
      <c r="AF34" s="214"/>
    </row>
    <row r="35" ht="15.75" customHeight="1">
      <c r="A35" s="200">
        <f t="shared" si="6"/>
        <v>4</v>
      </c>
      <c r="B35" s="201">
        <v>11.0</v>
      </c>
      <c r="C35" s="202">
        <f t="shared" si="7"/>
        <v>45834</v>
      </c>
      <c r="D35" s="203">
        <v>45834.0</v>
      </c>
      <c r="E35" s="234"/>
      <c r="F35" s="241"/>
      <c r="G35" s="206">
        <f t="shared" si="8"/>
        <v>0</v>
      </c>
      <c r="H35" s="207">
        <f t="shared" si="9"/>
        <v>0</v>
      </c>
      <c r="I35" s="206">
        <f t="shared" si="10"/>
        <v>0</v>
      </c>
      <c r="J35" s="208">
        <f t="shared" si="11"/>
        <v>0</v>
      </c>
      <c r="K35" s="209"/>
      <c r="L35" s="210"/>
      <c r="N35" s="23"/>
      <c r="O35" s="239"/>
      <c r="P35" s="229"/>
      <c r="Q35" s="46"/>
      <c r="R35" s="236"/>
      <c r="T35" s="77"/>
      <c r="U35" s="242"/>
      <c r="V35" s="243"/>
      <c r="W35" s="243"/>
      <c r="X35" s="243"/>
      <c r="Y35" s="243"/>
      <c r="Z35" s="243"/>
      <c r="AA35" s="243"/>
      <c r="AB35" s="243"/>
      <c r="AC35" s="243"/>
      <c r="AD35" s="243"/>
      <c r="AE35" s="244"/>
      <c r="AF35" s="227"/>
    </row>
    <row r="36" ht="15.75" customHeight="1">
      <c r="A36" s="200">
        <f t="shared" si="6"/>
        <v>5</v>
      </c>
      <c r="B36" s="201">
        <v>12.0</v>
      </c>
      <c r="C36" s="202">
        <f t="shared" si="7"/>
        <v>45835</v>
      </c>
      <c r="D36" s="203">
        <v>45835.0</v>
      </c>
      <c r="E36" s="234"/>
      <c r="F36" s="241"/>
      <c r="G36" s="206">
        <f t="shared" si="8"/>
        <v>0</v>
      </c>
      <c r="H36" s="207">
        <f t="shared" si="9"/>
        <v>0</v>
      </c>
      <c r="I36" s="206">
        <f t="shared" si="10"/>
        <v>0</v>
      </c>
      <c r="J36" s="208">
        <f t="shared" si="11"/>
        <v>0</v>
      </c>
      <c r="K36" s="209"/>
      <c r="L36" s="210"/>
      <c r="N36" s="23"/>
      <c r="O36" s="239"/>
      <c r="P36" s="229"/>
      <c r="Q36" s="46"/>
      <c r="R36" s="236"/>
      <c r="T36" s="245" t="s">
        <v>168</v>
      </c>
      <c r="U36" s="246">
        <v>150.0</v>
      </c>
      <c r="V36" s="247"/>
      <c r="W36" s="247"/>
      <c r="X36" s="247"/>
      <c r="Y36" s="247"/>
      <c r="Z36" s="247"/>
      <c r="AA36" s="247"/>
      <c r="AB36" s="247"/>
      <c r="AC36" s="247"/>
      <c r="AD36" s="247"/>
      <c r="AE36" s="247"/>
      <c r="AF36" s="199">
        <f>SUM(U36:AE41)</f>
        <v>650</v>
      </c>
    </row>
    <row r="37" ht="15.75" customHeight="1">
      <c r="A37" s="200">
        <f t="shared" si="6"/>
        <v>6</v>
      </c>
      <c r="B37" s="201">
        <v>13.0</v>
      </c>
      <c r="C37" s="202">
        <f t="shared" si="7"/>
        <v>45836</v>
      </c>
      <c r="D37" s="203">
        <v>45836.0</v>
      </c>
      <c r="E37" s="234"/>
      <c r="F37" s="241"/>
      <c r="G37" s="206">
        <f t="shared" si="8"/>
        <v>0</v>
      </c>
      <c r="H37" s="207">
        <f t="shared" si="9"/>
        <v>0</v>
      </c>
      <c r="I37" s="206">
        <f t="shared" si="10"/>
        <v>0</v>
      </c>
      <c r="J37" s="208">
        <f t="shared" si="11"/>
        <v>0</v>
      </c>
      <c r="K37" s="209"/>
      <c r="L37" s="210"/>
      <c r="N37" s="23"/>
      <c r="O37" s="239"/>
      <c r="P37" s="229"/>
      <c r="Q37" s="46"/>
      <c r="R37" s="236"/>
      <c r="T37" s="93"/>
      <c r="U37" s="248">
        <v>300.0</v>
      </c>
      <c r="V37" s="249"/>
      <c r="W37" s="249"/>
      <c r="X37" s="249"/>
      <c r="Y37" s="249"/>
      <c r="Z37" s="249"/>
      <c r="AA37" s="249"/>
      <c r="AB37" s="249"/>
      <c r="AC37" s="249"/>
      <c r="AD37" s="249"/>
      <c r="AE37" s="249"/>
      <c r="AF37" s="214"/>
    </row>
    <row r="38" ht="23.25" customHeight="1">
      <c r="A38" s="200">
        <f t="shared" si="6"/>
        <v>7</v>
      </c>
      <c r="B38" s="201">
        <v>14.0</v>
      </c>
      <c r="C38" s="202">
        <f t="shared" si="7"/>
        <v>45837</v>
      </c>
      <c r="D38" s="203">
        <v>45837.0</v>
      </c>
      <c r="E38" s="234"/>
      <c r="F38" s="235"/>
      <c r="G38" s="206">
        <f t="shared" si="8"/>
        <v>0</v>
      </c>
      <c r="H38" s="207">
        <f t="shared" si="9"/>
        <v>0</v>
      </c>
      <c r="I38" s="206">
        <f t="shared" si="10"/>
        <v>0</v>
      </c>
      <c r="J38" s="208">
        <f t="shared" si="11"/>
        <v>0</v>
      </c>
      <c r="K38" s="209"/>
      <c r="L38" s="210"/>
      <c r="N38" s="23"/>
      <c r="O38" s="239"/>
      <c r="P38" s="229"/>
      <c r="Q38" s="46"/>
      <c r="R38" s="236"/>
      <c r="T38" s="93"/>
      <c r="U38" s="248">
        <v>200.0</v>
      </c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14"/>
    </row>
    <row r="39" ht="15.75" customHeight="1">
      <c r="A39" s="200">
        <f t="shared" si="6"/>
        <v>1</v>
      </c>
      <c r="B39" s="201">
        <v>15.0</v>
      </c>
      <c r="C39" s="202">
        <f t="shared" si="7"/>
        <v>45838</v>
      </c>
      <c r="D39" s="203">
        <v>45838.0</v>
      </c>
      <c r="E39" s="204">
        <v>0.38263888888888886</v>
      </c>
      <c r="F39" s="205">
        <v>0.8333333333333334</v>
      </c>
      <c r="G39" s="206">
        <f t="shared" si="8"/>
        <v>0.4506944444</v>
      </c>
      <c r="H39" s="207">
        <f t="shared" si="9"/>
        <v>0.4583333333</v>
      </c>
      <c r="I39" s="206">
        <f t="shared" si="10"/>
        <v>-0.007638888889</v>
      </c>
      <c r="J39" s="208">
        <f t="shared" si="11"/>
        <v>-0.6666666667</v>
      </c>
      <c r="K39" s="209"/>
      <c r="L39" s="210"/>
      <c r="N39" s="23"/>
      <c r="O39" s="239"/>
      <c r="P39" s="229"/>
      <c r="Q39" s="46"/>
      <c r="R39" s="236"/>
      <c r="S39" s="23"/>
      <c r="T39" s="93"/>
      <c r="U39" s="250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14"/>
    </row>
    <row r="40" ht="25.5" customHeight="1">
      <c r="A40" s="200">
        <f t="shared" si="6"/>
        <v>2</v>
      </c>
      <c r="B40" s="201">
        <v>16.0</v>
      </c>
      <c r="C40" s="202">
        <f t="shared" si="7"/>
        <v>45839</v>
      </c>
      <c r="D40" s="203">
        <v>45839.0</v>
      </c>
      <c r="E40" s="204">
        <v>0.38263888888888886</v>
      </c>
      <c r="F40" s="205">
        <v>0.8541666666666666</v>
      </c>
      <c r="G40" s="206">
        <f t="shared" si="8"/>
        <v>0.4715277778</v>
      </c>
      <c r="H40" s="207">
        <f t="shared" si="9"/>
        <v>0.4583333333</v>
      </c>
      <c r="I40" s="206">
        <f t="shared" si="10"/>
        <v>0.01319444444</v>
      </c>
      <c r="J40" s="208">
        <f t="shared" si="11"/>
        <v>1.151515152</v>
      </c>
      <c r="K40" s="209"/>
      <c r="L40" s="210"/>
      <c r="N40" s="23"/>
      <c r="O40" s="239"/>
      <c r="P40" s="229"/>
      <c r="Q40" s="46"/>
      <c r="R40" s="236"/>
      <c r="S40" s="23"/>
      <c r="T40" s="93"/>
      <c r="U40" s="250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14"/>
    </row>
    <row r="41" ht="27.0" customHeight="1">
      <c r="A41" s="200">
        <f t="shared" si="6"/>
        <v>3</v>
      </c>
      <c r="B41" s="201">
        <v>17.0</v>
      </c>
      <c r="C41" s="202">
        <f t="shared" si="7"/>
        <v>45840</v>
      </c>
      <c r="D41" s="203">
        <v>45840.0</v>
      </c>
      <c r="E41" s="204">
        <v>0.375</v>
      </c>
      <c r="F41" s="205">
        <v>0.8541666666666666</v>
      </c>
      <c r="G41" s="206">
        <f t="shared" si="8"/>
        <v>0.4791666667</v>
      </c>
      <c r="H41" s="207">
        <f t="shared" si="9"/>
        <v>0.4583333333</v>
      </c>
      <c r="I41" s="206">
        <f t="shared" si="10"/>
        <v>0.02083333333</v>
      </c>
      <c r="J41" s="208">
        <f t="shared" si="11"/>
        <v>1.818181818</v>
      </c>
      <c r="K41" s="209"/>
      <c r="L41" s="210"/>
      <c r="N41" s="23"/>
      <c r="O41" s="251"/>
      <c r="P41" s="229"/>
      <c r="Q41" s="46"/>
      <c r="R41" s="252"/>
      <c r="S41" s="23"/>
      <c r="T41" s="77"/>
      <c r="U41" s="253"/>
      <c r="V41" s="254"/>
      <c r="W41" s="254"/>
      <c r="X41" s="254"/>
      <c r="Y41" s="254"/>
      <c r="Z41" s="254"/>
      <c r="AA41" s="254"/>
      <c r="AB41" s="254"/>
      <c r="AC41" s="254"/>
      <c r="AD41" s="254"/>
      <c r="AE41" s="254"/>
      <c r="AF41" s="227"/>
    </row>
    <row r="42" ht="39.75" customHeight="1">
      <c r="A42" s="200">
        <f t="shared" si="6"/>
        <v>4</v>
      </c>
      <c r="B42" s="201">
        <v>18.0</v>
      </c>
      <c r="C42" s="202">
        <f t="shared" si="7"/>
        <v>45841</v>
      </c>
      <c r="D42" s="203">
        <v>45841.0</v>
      </c>
      <c r="E42" s="234"/>
      <c r="F42" s="241"/>
      <c r="G42" s="206">
        <f t="shared" si="8"/>
        <v>0</v>
      </c>
      <c r="H42" s="207">
        <f t="shared" si="9"/>
        <v>0</v>
      </c>
      <c r="I42" s="206">
        <f t="shared" si="10"/>
        <v>0</v>
      </c>
      <c r="J42" s="208">
        <f t="shared" si="11"/>
        <v>0</v>
      </c>
      <c r="K42" s="209"/>
      <c r="L42" s="210"/>
      <c r="N42" s="23"/>
      <c r="O42" s="255"/>
      <c r="P42" s="229"/>
      <c r="Q42" s="46"/>
      <c r="R42" s="252"/>
      <c r="S42" s="23"/>
      <c r="T42" s="256" t="s">
        <v>169</v>
      </c>
      <c r="U42" s="257"/>
      <c r="V42" s="258"/>
      <c r="W42" s="258"/>
      <c r="X42" s="258"/>
      <c r="Y42" s="258"/>
      <c r="Z42" s="258"/>
      <c r="AA42" s="258"/>
      <c r="AB42" s="258"/>
      <c r="AC42" s="258"/>
      <c r="AD42" s="258"/>
      <c r="AE42" s="258"/>
      <c r="AF42" s="199">
        <f>SUM(U42:AE47)</f>
        <v>0</v>
      </c>
    </row>
    <row r="43" ht="36.75" customHeight="1">
      <c r="A43" s="200">
        <f t="shared" si="6"/>
        <v>5</v>
      </c>
      <c r="B43" s="201">
        <v>19.0</v>
      </c>
      <c r="C43" s="202">
        <f t="shared" si="7"/>
        <v>45842</v>
      </c>
      <c r="D43" s="203">
        <v>45842.0</v>
      </c>
      <c r="E43" s="234"/>
      <c r="F43" s="241"/>
      <c r="G43" s="206">
        <f t="shared" si="8"/>
        <v>0</v>
      </c>
      <c r="H43" s="207">
        <f t="shared" si="9"/>
        <v>0</v>
      </c>
      <c r="I43" s="206">
        <f t="shared" si="10"/>
        <v>0</v>
      </c>
      <c r="J43" s="208">
        <f t="shared" si="11"/>
        <v>0</v>
      </c>
      <c r="K43" s="209"/>
      <c r="L43" s="210"/>
      <c r="N43" s="23"/>
      <c r="O43" s="259"/>
      <c r="P43" s="260" t="s">
        <v>170</v>
      </c>
      <c r="Q43" s="260" t="s">
        <v>171</v>
      </c>
      <c r="R43" s="260" t="s">
        <v>172</v>
      </c>
      <c r="T43" s="93"/>
      <c r="U43" s="261"/>
      <c r="V43" s="262"/>
      <c r="W43" s="262"/>
      <c r="X43" s="262"/>
      <c r="Y43" s="262"/>
      <c r="Z43" s="262"/>
      <c r="AA43" s="262"/>
      <c r="AB43" s="262"/>
      <c r="AC43" s="262"/>
      <c r="AD43" s="262"/>
      <c r="AE43" s="262"/>
      <c r="AF43" s="214"/>
    </row>
    <row r="44" ht="25.5" customHeight="1">
      <c r="A44" s="200">
        <f t="shared" si="6"/>
        <v>6</v>
      </c>
      <c r="B44" s="201">
        <v>20.0</v>
      </c>
      <c r="C44" s="202">
        <f t="shared" si="7"/>
        <v>45843</v>
      </c>
      <c r="D44" s="203">
        <v>45843.0</v>
      </c>
      <c r="E44" s="234"/>
      <c r="F44" s="241"/>
      <c r="G44" s="206">
        <f t="shared" si="8"/>
        <v>0</v>
      </c>
      <c r="H44" s="207">
        <f t="shared" si="9"/>
        <v>0</v>
      </c>
      <c r="I44" s="206">
        <f t="shared" si="10"/>
        <v>0</v>
      </c>
      <c r="J44" s="208">
        <f t="shared" si="11"/>
        <v>0</v>
      </c>
      <c r="K44" s="209"/>
      <c r="L44" s="210"/>
      <c r="N44" s="23"/>
      <c r="O44" s="263"/>
      <c r="P44" s="264">
        <v>0.0</v>
      </c>
      <c r="Q44" s="265">
        <v>8.0</v>
      </c>
      <c r="R44" s="149">
        <f>Q44*P44</f>
        <v>0</v>
      </c>
      <c r="T44" s="93"/>
      <c r="U44" s="261"/>
      <c r="V44" s="262"/>
      <c r="W44" s="262"/>
      <c r="X44" s="262"/>
      <c r="Y44" s="262"/>
      <c r="Z44" s="262"/>
      <c r="AA44" s="262"/>
      <c r="AB44" s="262"/>
      <c r="AC44" s="262"/>
      <c r="AD44" s="262"/>
      <c r="AE44" s="262"/>
      <c r="AF44" s="214"/>
    </row>
    <row r="45" ht="22.5" customHeight="1">
      <c r="A45" s="200">
        <f t="shared" si="6"/>
        <v>7</v>
      </c>
      <c r="B45" s="201">
        <v>21.0</v>
      </c>
      <c r="C45" s="202">
        <f t="shared" si="7"/>
        <v>45844</v>
      </c>
      <c r="D45" s="203">
        <v>45844.0</v>
      </c>
      <c r="E45" s="266"/>
      <c r="F45" s="235"/>
      <c r="G45" s="206">
        <f t="shared" si="8"/>
        <v>0</v>
      </c>
      <c r="H45" s="207">
        <f t="shared" si="9"/>
        <v>0</v>
      </c>
      <c r="I45" s="206">
        <f t="shared" si="10"/>
        <v>0</v>
      </c>
      <c r="J45" s="208">
        <f t="shared" si="11"/>
        <v>0</v>
      </c>
      <c r="K45" s="209"/>
      <c r="L45" s="210"/>
      <c r="N45" s="23"/>
      <c r="O45" s="187" t="s">
        <v>154</v>
      </c>
      <c r="P45" s="184"/>
      <c r="Q45" s="46"/>
      <c r="R45" s="188">
        <f>R27+R28+R29+R30+R31+R32+R33+R34+R35+R36+R37+R38+R39+R40+R41+R42+R44</f>
        <v>190</v>
      </c>
      <c r="S45" s="23"/>
      <c r="T45" s="93"/>
      <c r="U45" s="261"/>
      <c r="V45" s="262"/>
      <c r="W45" s="262"/>
      <c r="X45" s="262"/>
      <c r="Y45" s="262"/>
      <c r="Z45" s="262"/>
      <c r="AA45" s="262"/>
      <c r="AB45" s="262"/>
      <c r="AC45" s="262"/>
      <c r="AD45" s="262"/>
      <c r="AE45" s="262"/>
      <c r="AF45" s="214"/>
    </row>
    <row r="46" ht="15.75" customHeight="1">
      <c r="A46" s="200">
        <f t="shared" si="6"/>
        <v>1</v>
      </c>
      <c r="B46" s="201">
        <v>22.0</v>
      </c>
      <c r="C46" s="202">
        <f t="shared" si="7"/>
        <v>45845</v>
      </c>
      <c r="D46" s="203">
        <v>45845.0</v>
      </c>
      <c r="E46" s="204">
        <v>0.38263888888888886</v>
      </c>
      <c r="F46" s="205">
        <v>0.8333333333333334</v>
      </c>
      <c r="G46" s="206">
        <f t="shared" si="8"/>
        <v>0.4506944444</v>
      </c>
      <c r="H46" s="207">
        <f t="shared" si="9"/>
        <v>0.4583333333</v>
      </c>
      <c r="I46" s="206">
        <f t="shared" si="10"/>
        <v>-0.007638888889</v>
      </c>
      <c r="J46" s="208">
        <f t="shared" si="11"/>
        <v>-0.6666666667</v>
      </c>
      <c r="K46" s="209"/>
      <c r="L46" s="210"/>
      <c r="N46" s="23"/>
      <c r="O46" s="23"/>
      <c r="S46" s="23"/>
      <c r="T46" s="93"/>
      <c r="U46" s="261"/>
      <c r="V46" s="262"/>
      <c r="W46" s="262"/>
      <c r="X46" s="262"/>
      <c r="Y46" s="262"/>
      <c r="Z46" s="262"/>
      <c r="AA46" s="262"/>
      <c r="AB46" s="262"/>
      <c r="AC46" s="262"/>
      <c r="AD46" s="262"/>
      <c r="AE46" s="262"/>
      <c r="AF46" s="214"/>
    </row>
    <row r="47" ht="27.0" customHeight="1">
      <c r="A47" s="200">
        <f t="shared" si="6"/>
        <v>2</v>
      </c>
      <c r="B47" s="201">
        <v>23.0</v>
      </c>
      <c r="C47" s="202">
        <f t="shared" si="7"/>
        <v>45846</v>
      </c>
      <c r="D47" s="203">
        <v>45846.0</v>
      </c>
      <c r="E47" s="204">
        <v>0.38263888888888886</v>
      </c>
      <c r="F47" s="205">
        <v>0.8541666666666666</v>
      </c>
      <c r="G47" s="206">
        <f t="shared" si="8"/>
        <v>0.4715277778</v>
      </c>
      <c r="H47" s="207">
        <f t="shared" si="9"/>
        <v>0.4583333333</v>
      </c>
      <c r="I47" s="206">
        <f t="shared" si="10"/>
        <v>0.01319444444</v>
      </c>
      <c r="J47" s="208">
        <f t="shared" si="11"/>
        <v>1.151515152</v>
      </c>
      <c r="K47" s="209"/>
      <c r="L47" s="210"/>
      <c r="N47" s="23"/>
      <c r="O47" s="23"/>
      <c r="S47" s="23"/>
      <c r="T47" s="77"/>
      <c r="U47" s="267"/>
      <c r="V47" s="268"/>
      <c r="W47" s="268"/>
      <c r="X47" s="268"/>
      <c r="Y47" s="268"/>
      <c r="Z47" s="268"/>
      <c r="AA47" s="268"/>
      <c r="AB47" s="268"/>
      <c r="AC47" s="268"/>
      <c r="AD47" s="268"/>
      <c r="AE47" s="268"/>
      <c r="AF47" s="227"/>
    </row>
    <row r="48" ht="28.5" customHeight="1">
      <c r="A48" s="200">
        <f t="shared" si="6"/>
        <v>3</v>
      </c>
      <c r="B48" s="201">
        <v>24.0</v>
      </c>
      <c r="C48" s="202">
        <f t="shared" si="7"/>
        <v>45847</v>
      </c>
      <c r="D48" s="203">
        <v>45847.0</v>
      </c>
      <c r="E48" s="204">
        <v>0.375</v>
      </c>
      <c r="F48" s="205">
        <v>0.8541666666666666</v>
      </c>
      <c r="G48" s="206">
        <f t="shared" si="8"/>
        <v>0.4791666667</v>
      </c>
      <c r="H48" s="207">
        <f t="shared" si="9"/>
        <v>0.4583333333</v>
      </c>
      <c r="I48" s="206">
        <f t="shared" si="10"/>
        <v>0.02083333333</v>
      </c>
      <c r="J48" s="208">
        <f t="shared" si="11"/>
        <v>1.818181818</v>
      </c>
      <c r="K48" s="209"/>
      <c r="L48" s="210"/>
      <c r="N48" s="23"/>
      <c r="O48" s="23"/>
      <c r="P48" s="269" t="s">
        <v>173</v>
      </c>
      <c r="Q48" s="6"/>
      <c r="R48" s="8"/>
      <c r="S48" s="23"/>
      <c r="T48" s="270" t="s">
        <v>174</v>
      </c>
      <c r="U48" s="271">
        <v>350.0</v>
      </c>
      <c r="V48" s="272"/>
      <c r="W48" s="272"/>
      <c r="X48" s="272"/>
      <c r="Y48" s="272"/>
      <c r="Z48" s="272"/>
      <c r="AA48" s="272"/>
      <c r="AB48" s="272"/>
      <c r="AC48" s="272"/>
      <c r="AD48" s="272"/>
      <c r="AE48" s="272"/>
      <c r="AF48" s="199">
        <f>SUM(U48:AE53)</f>
        <v>1670</v>
      </c>
    </row>
    <row r="49" ht="19.5" customHeight="1">
      <c r="A49" s="200">
        <f t="shared" si="6"/>
        <v>4</v>
      </c>
      <c r="B49" s="273">
        <v>25.0</v>
      </c>
      <c r="C49" s="202">
        <f t="shared" si="7"/>
        <v>45848</v>
      </c>
      <c r="D49" s="203">
        <v>45848.0</v>
      </c>
      <c r="E49" s="234"/>
      <c r="F49" s="241"/>
      <c r="G49" s="206">
        <f t="shared" si="8"/>
        <v>0</v>
      </c>
      <c r="H49" s="207">
        <f t="shared" si="9"/>
        <v>0</v>
      </c>
      <c r="I49" s="206">
        <f t="shared" si="10"/>
        <v>0</v>
      </c>
      <c r="J49" s="208">
        <f t="shared" si="11"/>
        <v>0</v>
      </c>
      <c r="K49" s="209"/>
      <c r="L49" s="210"/>
      <c r="N49" s="23"/>
      <c r="O49" s="23"/>
      <c r="P49" s="274" t="s">
        <v>62</v>
      </c>
      <c r="Q49" s="275">
        <f>R49/B23</f>
        <v>22.22222222</v>
      </c>
      <c r="R49" s="276">
        <f>L17</f>
        <v>600</v>
      </c>
      <c r="S49" s="23"/>
      <c r="T49" s="93"/>
      <c r="U49" s="277">
        <v>420.0</v>
      </c>
      <c r="V49" s="278"/>
      <c r="W49" s="278"/>
      <c r="X49" s="278"/>
      <c r="Y49" s="278"/>
      <c r="Z49" s="278"/>
      <c r="AA49" s="278"/>
      <c r="AB49" s="278"/>
      <c r="AC49" s="278"/>
      <c r="AD49" s="278"/>
      <c r="AE49" s="278"/>
      <c r="AF49" s="214"/>
    </row>
    <row r="50" ht="15.75" customHeight="1">
      <c r="A50" s="200">
        <f t="shared" si="6"/>
        <v>5</v>
      </c>
      <c r="B50" s="279">
        <v>26.0</v>
      </c>
      <c r="C50" s="202">
        <f t="shared" si="7"/>
        <v>45849</v>
      </c>
      <c r="D50" s="203">
        <v>45849.0</v>
      </c>
      <c r="E50" s="234"/>
      <c r="F50" s="241"/>
      <c r="G50" s="206">
        <f t="shared" si="8"/>
        <v>0</v>
      </c>
      <c r="H50" s="207">
        <f t="shared" si="9"/>
        <v>0</v>
      </c>
      <c r="I50" s="206">
        <f t="shared" si="10"/>
        <v>0</v>
      </c>
      <c r="J50" s="208">
        <f t="shared" si="11"/>
        <v>0</v>
      </c>
      <c r="K50" s="209"/>
      <c r="L50" s="280"/>
      <c r="N50" s="23"/>
      <c r="O50" s="23"/>
      <c r="P50" s="281" t="s">
        <v>175</v>
      </c>
      <c r="Q50" s="282">
        <f>AF60</f>
        <v>2320</v>
      </c>
      <c r="R50" s="283">
        <f>Q50*2%</f>
        <v>46.4</v>
      </c>
      <c r="S50" s="23"/>
      <c r="T50" s="93"/>
      <c r="U50" s="277">
        <v>500.0</v>
      </c>
      <c r="V50" s="278"/>
      <c r="W50" s="278"/>
      <c r="X50" s="278"/>
      <c r="Y50" s="278"/>
      <c r="Z50" s="278"/>
      <c r="AA50" s="278"/>
      <c r="AB50" s="278"/>
      <c r="AC50" s="278"/>
      <c r="AD50" s="278"/>
      <c r="AE50" s="278"/>
      <c r="AF50" s="214"/>
    </row>
    <row r="51" ht="15.75" customHeight="1">
      <c r="A51" s="200">
        <f t="shared" si="6"/>
        <v>6</v>
      </c>
      <c r="B51" s="284">
        <v>27.0</v>
      </c>
      <c r="C51" s="202">
        <f t="shared" si="7"/>
        <v>45850</v>
      </c>
      <c r="D51" s="203">
        <v>45850.0</v>
      </c>
      <c r="E51" s="234"/>
      <c r="F51" s="241"/>
      <c r="G51" s="206">
        <f t="shared" si="8"/>
        <v>0</v>
      </c>
      <c r="H51" s="207">
        <f t="shared" si="9"/>
        <v>0</v>
      </c>
      <c r="I51" s="206">
        <f t="shared" si="10"/>
        <v>0</v>
      </c>
      <c r="J51" s="208">
        <f t="shared" si="11"/>
        <v>0</v>
      </c>
      <c r="K51" s="285"/>
      <c r="L51" s="286"/>
      <c r="N51" s="23"/>
      <c r="O51" s="23"/>
      <c r="P51" s="281" t="s">
        <v>176</v>
      </c>
      <c r="Q51" s="287">
        <f>Q11</f>
        <v>3</v>
      </c>
      <c r="R51" s="283">
        <f>Q51*30</f>
        <v>90</v>
      </c>
      <c r="T51" s="93"/>
      <c r="U51" s="277">
        <v>220.0</v>
      </c>
      <c r="V51" s="278"/>
      <c r="W51" s="278"/>
      <c r="X51" s="278"/>
      <c r="Y51" s="278"/>
      <c r="Z51" s="278"/>
      <c r="AA51" s="278"/>
      <c r="AB51" s="278"/>
      <c r="AC51" s="278"/>
      <c r="AD51" s="278"/>
      <c r="AE51" s="278"/>
      <c r="AF51" s="214"/>
    </row>
    <row r="52" ht="21.75" customHeight="1">
      <c r="A52" s="200">
        <f t="shared" si="6"/>
        <v>7</v>
      </c>
      <c r="B52" s="284">
        <v>28.0</v>
      </c>
      <c r="C52" s="202">
        <f t="shared" si="7"/>
        <v>45851</v>
      </c>
      <c r="D52" s="203">
        <v>45851.0</v>
      </c>
      <c r="E52" s="266"/>
      <c r="F52" s="235"/>
      <c r="G52" s="206">
        <f t="shared" si="8"/>
        <v>0</v>
      </c>
      <c r="H52" s="207">
        <f t="shared" si="9"/>
        <v>0</v>
      </c>
      <c r="I52" s="206">
        <f t="shared" si="10"/>
        <v>0</v>
      </c>
      <c r="J52" s="208">
        <f t="shared" si="11"/>
        <v>0</v>
      </c>
      <c r="K52" s="285"/>
      <c r="L52" s="286"/>
      <c r="N52" s="23"/>
      <c r="O52" s="23"/>
      <c r="P52" s="288" t="s">
        <v>124</v>
      </c>
      <c r="Q52" s="289">
        <f>Q14</f>
        <v>19</v>
      </c>
      <c r="R52" s="290">
        <f>Q52*8</f>
        <v>152</v>
      </c>
      <c r="T52" s="93"/>
      <c r="U52" s="277">
        <v>180.0</v>
      </c>
      <c r="V52" s="278"/>
      <c r="W52" s="278"/>
      <c r="X52" s="278"/>
      <c r="Y52" s="278"/>
      <c r="Z52" s="278"/>
      <c r="AA52" s="278"/>
      <c r="AB52" s="278"/>
      <c r="AC52" s="278"/>
      <c r="AD52" s="278"/>
      <c r="AE52" s="278"/>
      <c r="AF52" s="214"/>
    </row>
    <row r="53">
      <c r="A53" s="200">
        <f t="shared" si="6"/>
        <v>1</v>
      </c>
      <c r="B53" s="284">
        <v>29.0</v>
      </c>
      <c r="C53" s="202">
        <f t="shared" si="7"/>
        <v>45852</v>
      </c>
      <c r="D53" s="203">
        <v>45852.0</v>
      </c>
      <c r="E53" s="204">
        <v>0.38263888888888886</v>
      </c>
      <c r="F53" s="205">
        <v>0.8333333333333334</v>
      </c>
      <c r="G53" s="206">
        <f t="shared" si="8"/>
        <v>0.4506944444</v>
      </c>
      <c r="H53" s="207">
        <f t="shared" si="9"/>
        <v>0.4583333333</v>
      </c>
      <c r="I53" s="206">
        <f t="shared" si="10"/>
        <v>-0.007638888889</v>
      </c>
      <c r="J53" s="208">
        <f t="shared" si="11"/>
        <v>-0.6666666667</v>
      </c>
      <c r="K53" s="285"/>
      <c r="L53" s="286"/>
      <c r="N53" s="23"/>
      <c r="O53" s="23"/>
      <c r="P53" s="291" t="s">
        <v>177</v>
      </c>
      <c r="Q53" s="292">
        <f>G81</f>
        <v>0</v>
      </c>
      <c r="R53" s="293">
        <f>J81</f>
        <v>0</v>
      </c>
      <c r="T53" s="77"/>
      <c r="U53" s="294"/>
      <c r="V53" s="295"/>
      <c r="W53" s="295"/>
      <c r="X53" s="295"/>
      <c r="Y53" s="295"/>
      <c r="Z53" s="295"/>
      <c r="AA53" s="295"/>
      <c r="AB53" s="295"/>
      <c r="AC53" s="295"/>
      <c r="AD53" s="295"/>
      <c r="AE53" s="295"/>
      <c r="AF53" s="227"/>
    </row>
    <row r="54">
      <c r="A54" s="200">
        <f t="shared" si="6"/>
        <v>2</v>
      </c>
      <c r="B54" s="284">
        <v>30.0</v>
      </c>
      <c r="C54" s="202">
        <f t="shared" si="7"/>
        <v>45853</v>
      </c>
      <c r="D54" s="203">
        <v>45853.0</v>
      </c>
      <c r="E54" s="204">
        <v>0.38263888888888886</v>
      </c>
      <c r="F54" s="205">
        <v>0.8541666666666666</v>
      </c>
      <c r="G54" s="206">
        <f t="shared" si="8"/>
        <v>0.4715277778</v>
      </c>
      <c r="H54" s="207">
        <f t="shared" si="9"/>
        <v>0.4583333333</v>
      </c>
      <c r="I54" s="206">
        <f t="shared" si="10"/>
        <v>0.01319444444</v>
      </c>
      <c r="J54" s="208">
        <f t="shared" si="11"/>
        <v>1.151515152</v>
      </c>
      <c r="K54" s="296"/>
      <c r="L54" s="297"/>
      <c r="N54" s="23"/>
      <c r="O54" s="23"/>
      <c r="P54" s="291" t="s">
        <v>178</v>
      </c>
      <c r="Q54" s="292">
        <f>G125</f>
        <v>6</v>
      </c>
      <c r="R54" s="293">
        <f>J126</f>
        <v>21.81818182</v>
      </c>
      <c r="T54" s="298" t="s">
        <v>179</v>
      </c>
      <c r="U54" s="299"/>
      <c r="V54" s="300"/>
      <c r="W54" s="300"/>
      <c r="X54" s="300"/>
      <c r="Y54" s="300"/>
      <c r="Z54" s="300"/>
      <c r="AA54" s="300"/>
      <c r="AB54" s="300"/>
      <c r="AC54" s="300"/>
      <c r="AD54" s="300"/>
      <c r="AE54" s="300"/>
      <c r="AF54" s="199">
        <f>SUM(U54:AE59)</f>
        <v>0</v>
      </c>
    </row>
    <row r="55" ht="27.75" customHeight="1">
      <c r="A55" s="200">
        <f t="shared" si="6"/>
        <v>3</v>
      </c>
      <c r="B55" s="301">
        <v>31.0</v>
      </c>
      <c r="C55" s="302">
        <f t="shared" si="7"/>
        <v>45854</v>
      </c>
      <c r="D55" s="203">
        <v>45854.0</v>
      </c>
      <c r="E55" s="204">
        <v>0.375</v>
      </c>
      <c r="F55" s="205">
        <v>0.8541666666666666</v>
      </c>
      <c r="G55" s="303">
        <f t="shared" si="8"/>
        <v>0.4791666667</v>
      </c>
      <c r="H55" s="207">
        <f t="shared" si="9"/>
        <v>0.4583333333</v>
      </c>
      <c r="I55" s="206">
        <f t="shared" si="10"/>
        <v>0.02083333333</v>
      </c>
      <c r="J55" s="304">
        <f t="shared" si="11"/>
        <v>1.818181818</v>
      </c>
      <c r="K55" s="305"/>
      <c r="L55" s="306"/>
      <c r="N55" s="23"/>
      <c r="O55" s="23"/>
      <c r="P55" s="307" t="s">
        <v>180</v>
      </c>
      <c r="Q55" s="308"/>
      <c r="R55" s="309">
        <f>SUM(R49:R54)</f>
        <v>910.2181818</v>
      </c>
      <c r="T55" s="93"/>
      <c r="U55" s="310"/>
      <c r="V55" s="311"/>
      <c r="W55" s="311"/>
      <c r="X55" s="311"/>
      <c r="Y55" s="311"/>
      <c r="Z55" s="311"/>
      <c r="AA55" s="311"/>
      <c r="AB55" s="311"/>
      <c r="AC55" s="311"/>
      <c r="AD55" s="311"/>
      <c r="AE55" s="311"/>
      <c r="AF55" s="214"/>
    </row>
    <row r="56" ht="25.5" customHeight="1">
      <c r="A56" s="180"/>
      <c r="B56" s="312"/>
      <c r="C56" s="312"/>
      <c r="D56" s="312"/>
      <c r="E56" s="313"/>
      <c r="F56" s="314" t="s">
        <v>181</v>
      </c>
      <c r="G56" s="315">
        <f>SUM(G25:G55)*24</f>
        <v>179.9833333</v>
      </c>
      <c r="H56" s="316"/>
      <c r="I56" s="317" t="s">
        <v>182</v>
      </c>
      <c r="J56" s="318">
        <f>SUMIF($J$25:$J$55,"&lt;0")</f>
        <v>-2.666666667</v>
      </c>
      <c r="K56" s="312"/>
      <c r="L56" s="312"/>
      <c r="N56" s="23"/>
      <c r="O56" s="23"/>
      <c r="P56" s="319" t="s">
        <v>183</v>
      </c>
      <c r="Q56" s="6"/>
      <c r="R56" s="8"/>
      <c r="T56" s="93"/>
      <c r="U56" s="310"/>
      <c r="V56" s="311"/>
      <c r="W56" s="311"/>
      <c r="X56" s="311"/>
      <c r="Y56" s="311"/>
      <c r="Z56" s="311"/>
      <c r="AA56" s="311"/>
      <c r="AB56" s="311"/>
      <c r="AC56" s="311"/>
      <c r="AD56" s="311"/>
      <c r="AE56" s="311"/>
      <c r="AF56" s="214"/>
    </row>
    <row r="57" ht="27.75" customHeight="1">
      <c r="A57" s="121"/>
      <c r="B57" s="313"/>
      <c r="C57" s="313"/>
      <c r="D57" s="313"/>
      <c r="E57" s="313"/>
      <c r="F57" s="314" t="s">
        <v>184</v>
      </c>
      <c r="G57" s="315">
        <f>B20</f>
        <v>165</v>
      </c>
      <c r="H57" s="316"/>
      <c r="I57" s="317" t="s">
        <v>185</v>
      </c>
      <c r="J57" s="318">
        <f>SUMIF($J$25:$J$55,"&gt;0")</f>
        <v>57.15151515</v>
      </c>
      <c r="K57" s="313"/>
      <c r="L57" s="313"/>
      <c r="N57" s="23"/>
      <c r="O57" s="23"/>
      <c r="P57" s="320" t="s">
        <v>186</v>
      </c>
      <c r="Q57" s="321">
        <f>Q10</f>
        <v>0</v>
      </c>
      <c r="R57" s="322">
        <f>-(Q57*Q49)*2</f>
        <v>0</v>
      </c>
      <c r="T57" s="93"/>
      <c r="U57" s="310"/>
      <c r="V57" s="311"/>
      <c r="W57" s="311"/>
      <c r="X57" s="311"/>
      <c r="Y57" s="311"/>
      <c r="Z57" s="311"/>
      <c r="AA57" s="311"/>
      <c r="AB57" s="311"/>
      <c r="AC57" s="311"/>
      <c r="AD57" s="311"/>
      <c r="AE57" s="311"/>
      <c r="AF57" s="214"/>
    </row>
    <row r="58" ht="29.25" customHeight="1">
      <c r="A58" s="121"/>
      <c r="F58" s="323" t="s">
        <v>187</v>
      </c>
      <c r="G58" s="324">
        <f>G56-G57</f>
        <v>14.98333333</v>
      </c>
      <c r="H58" s="316"/>
      <c r="I58" s="317" t="s">
        <v>188</v>
      </c>
      <c r="J58" s="325">
        <f>J57+J56</f>
        <v>54.48484848</v>
      </c>
      <c r="L58" s="5"/>
      <c r="P58" s="326" t="s">
        <v>165</v>
      </c>
      <c r="Q58" s="327" t="s">
        <v>104</v>
      </c>
      <c r="R58" s="328">
        <f>-SUM(R27:R42)</f>
        <v>-190</v>
      </c>
      <c r="T58" s="93"/>
      <c r="U58" s="310"/>
      <c r="V58" s="311"/>
      <c r="W58" s="311"/>
      <c r="X58" s="311"/>
      <c r="Y58" s="311"/>
      <c r="Z58" s="311"/>
      <c r="AA58" s="311"/>
      <c r="AB58" s="311"/>
      <c r="AC58" s="311"/>
      <c r="AD58" s="311"/>
      <c r="AE58" s="311"/>
      <c r="AF58" s="214"/>
    </row>
    <row r="59">
      <c r="A59" s="121"/>
      <c r="H59" s="121"/>
      <c r="P59" s="329" t="s">
        <v>189</v>
      </c>
      <c r="Q59" s="330"/>
      <c r="R59" s="331">
        <f>SUM(R57:R58)</f>
        <v>-190</v>
      </c>
      <c r="T59" s="77"/>
      <c r="U59" s="332"/>
      <c r="V59" s="333"/>
      <c r="W59" s="333"/>
      <c r="X59" s="333"/>
      <c r="Y59" s="333"/>
      <c r="Z59" s="333"/>
      <c r="AA59" s="333"/>
      <c r="AB59" s="333"/>
      <c r="AC59" s="333"/>
      <c r="AD59" s="333"/>
      <c r="AE59" s="333"/>
      <c r="AF59" s="227"/>
    </row>
    <row r="60" ht="27.75" customHeight="1">
      <c r="A60" s="121"/>
      <c r="H60" s="121"/>
      <c r="P60" s="334" t="s">
        <v>190</v>
      </c>
      <c r="Q60" s="6"/>
      <c r="R60" s="8"/>
      <c r="AC60" s="335" t="s">
        <v>191</v>
      </c>
      <c r="AD60" s="6"/>
      <c r="AE60" s="6"/>
      <c r="AF60" s="336">
        <f>SUM(AF24:AF59)</f>
        <v>2320</v>
      </c>
    </row>
    <row r="61" ht="30.0" customHeight="1">
      <c r="A61" s="121"/>
      <c r="H61" s="121"/>
      <c r="P61" s="337" t="s">
        <v>192</v>
      </c>
      <c r="Q61" s="338">
        <f>G58</f>
        <v>14.98333333</v>
      </c>
      <c r="R61" s="338">
        <f>J58</f>
        <v>54.48484848</v>
      </c>
      <c r="S61" s="339"/>
      <c r="T61" s="340" t="s">
        <v>193</v>
      </c>
      <c r="U61" s="6"/>
      <c r="V61" s="6"/>
      <c r="W61" s="6"/>
      <c r="X61" s="8"/>
    </row>
    <row r="62" ht="19.5" customHeight="1">
      <c r="A62" s="121"/>
      <c r="G62" s="5">
        <f>550/26</f>
        <v>21.15384615</v>
      </c>
      <c r="H62" s="121"/>
      <c r="P62" s="341" t="s">
        <v>194</v>
      </c>
      <c r="Q62" s="342">
        <f>Q13</f>
        <v>2</v>
      </c>
      <c r="R62" s="342">
        <f>Q62*25</f>
        <v>50</v>
      </c>
      <c r="T62" s="343" t="s">
        <v>195</v>
      </c>
      <c r="U62" s="344"/>
      <c r="V62" s="344"/>
      <c r="W62" s="344"/>
      <c r="X62" s="153"/>
    </row>
    <row r="63" ht="24.0" customHeight="1">
      <c r="A63" s="121"/>
      <c r="H63" s="121"/>
      <c r="P63" s="345" t="s">
        <v>196</v>
      </c>
      <c r="Q63" s="46"/>
      <c r="R63" s="346">
        <f>R55+R59+R61+R62</f>
        <v>824.7030303</v>
      </c>
      <c r="T63" s="347"/>
      <c r="X63" s="348"/>
    </row>
    <row r="64">
      <c r="A64" s="121"/>
      <c r="B64" s="349"/>
      <c r="C64" s="349"/>
      <c r="D64" s="349"/>
      <c r="E64" s="349"/>
      <c r="F64" s="349"/>
      <c r="G64" s="349"/>
      <c r="H64" s="350"/>
      <c r="I64" s="349"/>
      <c r="J64" s="349"/>
      <c r="K64" s="349"/>
      <c r="L64" s="349"/>
      <c r="P64" s="351" t="s">
        <v>197</v>
      </c>
      <c r="Q64" s="46"/>
      <c r="R64" s="352">
        <f>SUMIF(Q6,"&gt;0")</f>
        <v>20</v>
      </c>
      <c r="T64" s="347"/>
      <c r="X64" s="348"/>
    </row>
    <row r="65" ht="15.75" customHeight="1">
      <c r="A65" s="121"/>
      <c r="B65" s="353"/>
      <c r="E65" s="349"/>
      <c r="F65" s="349"/>
      <c r="G65" s="349"/>
      <c r="H65" s="350"/>
      <c r="I65" s="349"/>
      <c r="J65" s="349"/>
      <c r="K65" s="349"/>
      <c r="L65" s="349"/>
      <c r="P65" s="351" t="s">
        <v>198</v>
      </c>
      <c r="Q65" s="46"/>
      <c r="R65" s="352">
        <f>R23</f>
        <v>-20</v>
      </c>
      <c r="T65" s="347"/>
      <c r="X65" s="348"/>
    </row>
    <row r="66" ht="25.5" customHeight="1">
      <c r="A66" s="121"/>
      <c r="B66" s="354"/>
      <c r="C66" s="23"/>
      <c r="D66" s="23"/>
      <c r="E66" s="23"/>
      <c r="F66" s="23"/>
      <c r="H66" s="121"/>
      <c r="J66" s="355" t="s">
        <v>62</v>
      </c>
      <c r="K66" s="8"/>
      <c r="L66" s="23"/>
      <c r="P66" s="356" t="s">
        <v>199</v>
      </c>
      <c r="Q66" s="46"/>
      <c r="R66" s="357">
        <v>20.0</v>
      </c>
      <c r="S66" s="5"/>
      <c r="T66" s="347"/>
      <c r="X66" s="348"/>
    </row>
    <row r="67" ht="24.0" customHeight="1">
      <c r="A67" s="121"/>
      <c r="B67" s="358" t="s">
        <v>177</v>
      </c>
      <c r="F67" s="359"/>
      <c r="H67" s="121"/>
      <c r="J67" s="360" t="s">
        <v>135</v>
      </c>
      <c r="K67" s="361">
        <f t="shared" ref="K67:K72" si="12">L17</f>
        <v>600</v>
      </c>
      <c r="P67" s="362" t="s">
        <v>200</v>
      </c>
      <c r="Q67" s="46"/>
      <c r="R67" s="363">
        <f>+R63-R64+R65+R66</f>
        <v>804.7030303</v>
      </c>
      <c r="T67" s="347"/>
      <c r="X67" s="348"/>
    </row>
    <row r="68" ht="25.5" customHeight="1">
      <c r="A68" s="121"/>
      <c r="B68" s="148"/>
      <c r="C68" s="364"/>
      <c r="D68" s="364"/>
      <c r="E68" s="364"/>
      <c r="F68" s="110"/>
      <c r="H68" s="121"/>
      <c r="J68" s="365" t="s">
        <v>140</v>
      </c>
      <c r="K68" s="366">
        <f t="shared" si="12"/>
        <v>22.22222222</v>
      </c>
      <c r="L68" s="23"/>
      <c r="Q68" s="5"/>
      <c r="R68" s="367"/>
      <c r="T68" s="347"/>
      <c r="X68" s="348"/>
    </row>
    <row r="69" ht="27.0" customHeight="1">
      <c r="A69" s="121"/>
      <c r="B69" s="23"/>
      <c r="C69" s="23"/>
      <c r="D69" s="23"/>
      <c r="E69" s="23"/>
      <c r="F69" s="23"/>
      <c r="H69" s="121"/>
      <c r="J69" s="365" t="s">
        <v>144</v>
      </c>
      <c r="K69" s="366">
        <f t="shared" si="12"/>
        <v>3.636363636</v>
      </c>
      <c r="L69" s="23"/>
      <c r="P69" s="368" t="s">
        <v>201</v>
      </c>
      <c r="Q69" s="46"/>
      <c r="R69" s="369" t="s">
        <v>202</v>
      </c>
      <c r="T69" s="347"/>
      <c r="X69" s="348"/>
    </row>
    <row r="70" ht="25.5" customHeight="1">
      <c r="A70" s="121"/>
      <c r="B70" s="23"/>
      <c r="C70" s="23"/>
      <c r="D70" s="23"/>
      <c r="E70" s="23"/>
      <c r="F70" s="23"/>
      <c r="H70" s="121"/>
      <c r="J70" s="365" t="s">
        <v>203</v>
      </c>
      <c r="K70" s="370" t="str">
        <f t="shared" si="12"/>
        <v>x</v>
      </c>
      <c r="L70" s="371"/>
      <c r="P70" s="372" t="s">
        <v>204</v>
      </c>
      <c r="Q70" s="46"/>
      <c r="R70" s="80"/>
      <c r="T70" s="347"/>
      <c r="X70" s="348"/>
    </row>
    <row r="71" ht="27.0" customHeight="1">
      <c r="A71" s="121"/>
      <c r="B71" s="23"/>
      <c r="C71" s="23"/>
      <c r="D71" s="23"/>
      <c r="E71" s="23"/>
      <c r="F71" s="23"/>
      <c r="H71" s="121"/>
      <c r="J71" s="365" t="s">
        <v>205</v>
      </c>
      <c r="K71" s="373">
        <f t="shared" si="12"/>
        <v>165</v>
      </c>
      <c r="L71" s="23"/>
      <c r="P71" s="372" t="s">
        <v>206</v>
      </c>
      <c r="Q71" s="46"/>
      <c r="R71" s="80"/>
      <c r="T71" s="374"/>
      <c r="U71" s="78"/>
      <c r="V71" s="78"/>
      <c r="W71" s="78"/>
      <c r="X71" s="79"/>
      <c r="Y71" s="5" t="s">
        <v>207</v>
      </c>
    </row>
    <row r="72" ht="21.75" customHeight="1">
      <c r="A72" s="121"/>
      <c r="B72" s="23"/>
      <c r="C72" s="23"/>
      <c r="D72" s="23"/>
      <c r="E72" s="23"/>
      <c r="F72" s="23"/>
      <c r="H72" s="121"/>
      <c r="J72" s="365" t="s">
        <v>152</v>
      </c>
      <c r="K72" s="373">
        <f t="shared" si="12"/>
        <v>6.111111111</v>
      </c>
      <c r="L72" s="23"/>
      <c r="P72" s="168"/>
      <c r="Q72" s="46"/>
      <c r="R72" s="80"/>
    </row>
    <row r="73" ht="36.0" customHeight="1">
      <c r="A73" s="121"/>
      <c r="B73" s="375" t="s">
        <v>156</v>
      </c>
      <c r="C73" s="195"/>
      <c r="D73" s="195" t="s">
        <v>130</v>
      </c>
      <c r="E73" s="376" t="s">
        <v>157</v>
      </c>
      <c r="F73" s="377" t="s">
        <v>158</v>
      </c>
      <c r="G73" s="378" t="s">
        <v>159</v>
      </c>
      <c r="H73" s="379"/>
      <c r="I73" s="380" t="s">
        <v>161</v>
      </c>
      <c r="J73" s="193" t="s">
        <v>162</v>
      </c>
      <c r="K73" s="191" t="s">
        <v>208</v>
      </c>
      <c r="L73" s="195" t="s">
        <v>57</v>
      </c>
      <c r="P73" s="168"/>
      <c r="Q73" s="46"/>
      <c r="R73" s="80"/>
      <c r="T73" s="4" t="s">
        <v>209</v>
      </c>
      <c r="U73" s="6"/>
      <c r="V73" s="6"/>
      <c r="W73" s="6"/>
      <c r="X73" s="6"/>
      <c r="Y73" s="6"/>
      <c r="Z73" s="6"/>
      <c r="AA73" s="8"/>
    </row>
    <row r="74">
      <c r="A74" s="121"/>
      <c r="B74" s="201">
        <v>1.0</v>
      </c>
      <c r="C74" s="202">
        <f t="shared" ref="C74:C80" si="13">D74</f>
        <v>45158</v>
      </c>
      <c r="D74" s="381">
        <v>45158.0</v>
      </c>
      <c r="E74" s="382"/>
      <c r="F74" s="383"/>
      <c r="G74" s="384">
        <f t="shared" ref="G74:G80" si="14">F74-E74</f>
        <v>0</v>
      </c>
      <c r="H74" s="385">
        <f t="shared" ref="H74:H80" si="15">$H$14</f>
        <v>0</v>
      </c>
      <c r="I74" s="386">
        <f t="shared" ref="I74:I80" si="16">F74-E74</f>
        <v>0</v>
      </c>
      <c r="J74" s="208">
        <f t="shared" ref="J74:J80" si="17">I74*$K$69*24</f>
        <v>0</v>
      </c>
      <c r="K74" s="209"/>
      <c r="L74" s="210"/>
      <c r="T74" s="9" t="s">
        <v>17</v>
      </c>
      <c r="U74" s="8"/>
      <c r="V74" s="10" t="s">
        <v>18</v>
      </c>
      <c r="W74" s="6"/>
      <c r="X74" s="6"/>
      <c r="Y74" s="6"/>
      <c r="Z74" s="6"/>
      <c r="AA74" s="8"/>
    </row>
    <row r="75" ht="25.5" customHeight="1">
      <c r="A75" s="121"/>
      <c r="B75" s="201">
        <v>2.0</v>
      </c>
      <c r="C75" s="202">
        <f t="shared" si="13"/>
        <v>45158</v>
      </c>
      <c r="D75" s="381">
        <v>45158.0</v>
      </c>
      <c r="E75" s="382"/>
      <c r="F75" s="383"/>
      <c r="G75" s="384">
        <f t="shared" si="14"/>
        <v>0</v>
      </c>
      <c r="H75" s="385">
        <f t="shared" si="15"/>
        <v>0</v>
      </c>
      <c r="I75" s="386">
        <f t="shared" si="16"/>
        <v>0</v>
      </c>
      <c r="J75" s="208">
        <f t="shared" si="17"/>
        <v>0</v>
      </c>
      <c r="K75" s="209"/>
      <c r="L75" s="210"/>
      <c r="P75" s="156" t="s">
        <v>57</v>
      </c>
      <c r="Q75" s="157"/>
      <c r="R75" s="387" t="s">
        <v>210</v>
      </c>
      <c r="T75" s="9" t="s">
        <v>19</v>
      </c>
      <c r="U75" s="8"/>
      <c r="V75" s="12"/>
      <c r="W75" s="6"/>
      <c r="X75" s="6"/>
      <c r="Y75" s="6"/>
      <c r="Z75" s="6"/>
      <c r="AA75" s="8"/>
    </row>
    <row r="76" ht="24.0" customHeight="1">
      <c r="A76" s="121"/>
      <c r="B76" s="201">
        <v>3.0</v>
      </c>
      <c r="C76" s="202">
        <f t="shared" si="13"/>
        <v>45158</v>
      </c>
      <c r="D76" s="381">
        <v>45158.0</v>
      </c>
      <c r="E76" s="382"/>
      <c r="F76" s="383"/>
      <c r="G76" s="384">
        <f t="shared" si="14"/>
        <v>0</v>
      </c>
      <c r="H76" s="385">
        <f t="shared" si="15"/>
        <v>0</v>
      </c>
      <c r="I76" s="386">
        <f t="shared" si="16"/>
        <v>0</v>
      </c>
      <c r="J76" s="208">
        <f t="shared" si="17"/>
        <v>0</v>
      </c>
      <c r="K76" s="209"/>
      <c r="L76" s="210"/>
      <c r="P76" s="372" t="s">
        <v>211</v>
      </c>
      <c r="Q76" s="46"/>
      <c r="R76" s="80"/>
      <c r="T76" s="9" t="s">
        <v>212</v>
      </c>
      <c r="U76" s="8"/>
      <c r="V76" s="12"/>
      <c r="W76" s="6"/>
      <c r="X76" s="6"/>
      <c r="Y76" s="6"/>
      <c r="Z76" s="6"/>
      <c r="AA76" s="8"/>
    </row>
    <row r="77" ht="24.75" customHeight="1">
      <c r="A77" s="121"/>
      <c r="B77" s="201">
        <v>4.0</v>
      </c>
      <c r="C77" s="202">
        <f t="shared" si="13"/>
        <v>45158</v>
      </c>
      <c r="D77" s="381">
        <v>45158.0</v>
      </c>
      <c r="E77" s="382"/>
      <c r="F77" s="383"/>
      <c r="G77" s="384">
        <f t="shared" si="14"/>
        <v>0</v>
      </c>
      <c r="H77" s="385">
        <f t="shared" si="15"/>
        <v>0</v>
      </c>
      <c r="I77" s="386">
        <f t="shared" si="16"/>
        <v>0</v>
      </c>
      <c r="J77" s="208">
        <f t="shared" si="17"/>
        <v>0</v>
      </c>
      <c r="K77" s="209"/>
      <c r="L77" s="210"/>
      <c r="P77" s="372" t="s">
        <v>213</v>
      </c>
      <c r="Q77" s="46"/>
      <c r="R77" s="80"/>
      <c r="T77" s="9" t="s">
        <v>214</v>
      </c>
      <c r="U77" s="8"/>
      <c r="V77" s="10" t="s">
        <v>215</v>
      </c>
      <c r="W77" s="6"/>
      <c r="X77" s="6"/>
      <c r="Y77" s="6"/>
      <c r="Z77" s="6"/>
      <c r="AA77" s="8"/>
    </row>
    <row r="78" ht="22.5" customHeight="1">
      <c r="A78" s="121"/>
      <c r="B78" s="201">
        <v>5.0</v>
      </c>
      <c r="C78" s="202">
        <f t="shared" si="13"/>
        <v>45158</v>
      </c>
      <c r="D78" s="381">
        <v>45158.0</v>
      </c>
      <c r="E78" s="382"/>
      <c r="F78" s="383"/>
      <c r="G78" s="384">
        <f t="shared" si="14"/>
        <v>0</v>
      </c>
      <c r="H78" s="385">
        <f t="shared" si="15"/>
        <v>0</v>
      </c>
      <c r="I78" s="386">
        <f t="shared" si="16"/>
        <v>0</v>
      </c>
      <c r="J78" s="208">
        <f t="shared" si="17"/>
        <v>0</v>
      </c>
      <c r="K78" s="209"/>
      <c r="L78" s="210"/>
      <c r="P78" s="168"/>
      <c r="Q78" s="46"/>
      <c r="R78" s="80"/>
      <c r="T78" s="9" t="s">
        <v>216</v>
      </c>
      <c r="U78" s="8"/>
      <c r="V78" s="10">
        <v>15.0</v>
      </c>
      <c r="W78" s="6"/>
      <c r="X78" s="6"/>
      <c r="Y78" s="6"/>
      <c r="Z78" s="6"/>
      <c r="AA78" s="8"/>
    </row>
    <row r="79" ht="15.75" customHeight="1">
      <c r="A79" s="121"/>
      <c r="B79" s="201">
        <v>6.0</v>
      </c>
      <c r="C79" s="202">
        <f t="shared" si="13"/>
        <v>45158</v>
      </c>
      <c r="D79" s="381">
        <v>45158.0</v>
      </c>
      <c r="E79" s="382"/>
      <c r="F79" s="383"/>
      <c r="G79" s="384">
        <f t="shared" si="14"/>
        <v>0</v>
      </c>
      <c r="H79" s="385">
        <f t="shared" si="15"/>
        <v>0</v>
      </c>
      <c r="I79" s="386">
        <f t="shared" si="16"/>
        <v>0</v>
      </c>
      <c r="J79" s="208">
        <f t="shared" si="17"/>
        <v>0</v>
      </c>
      <c r="K79" s="209"/>
      <c r="L79" s="210"/>
      <c r="P79" s="168"/>
      <c r="Q79" s="46"/>
      <c r="R79" s="80"/>
      <c r="T79" s="388" t="s">
        <v>217</v>
      </c>
      <c r="U79" s="153"/>
      <c r="V79" s="10" t="s">
        <v>218</v>
      </c>
      <c r="W79" s="6"/>
      <c r="X79" s="6"/>
      <c r="Y79" s="6"/>
      <c r="Z79" s="6"/>
      <c r="AA79" s="8"/>
    </row>
    <row r="80" ht="15.75" customHeight="1">
      <c r="A80" s="121"/>
      <c r="B80" s="201">
        <v>7.0</v>
      </c>
      <c r="C80" s="202">
        <f t="shared" si="13"/>
        <v>45158</v>
      </c>
      <c r="D80" s="381">
        <v>45158.0</v>
      </c>
      <c r="E80" s="382"/>
      <c r="F80" s="383"/>
      <c r="G80" s="384">
        <f t="shared" si="14"/>
        <v>0</v>
      </c>
      <c r="H80" s="385">
        <f t="shared" si="15"/>
        <v>0</v>
      </c>
      <c r="I80" s="386">
        <f t="shared" si="16"/>
        <v>0</v>
      </c>
      <c r="J80" s="208">
        <f t="shared" si="17"/>
        <v>0</v>
      </c>
      <c r="K80" s="209"/>
      <c r="L80" s="210"/>
      <c r="P80" s="168"/>
      <c r="Q80" s="46"/>
      <c r="R80" s="80"/>
      <c r="T80" s="347"/>
      <c r="U80" s="348"/>
      <c r="V80" s="10" t="s">
        <v>218</v>
      </c>
      <c r="W80" s="6"/>
      <c r="X80" s="6"/>
      <c r="Y80" s="6"/>
      <c r="Z80" s="6"/>
      <c r="AA80" s="8"/>
    </row>
    <row r="81" ht="21.0" customHeight="1">
      <c r="A81" s="121"/>
      <c r="F81" s="314" t="s">
        <v>181</v>
      </c>
      <c r="G81" s="315">
        <f>SUM(G74:G80)*24</f>
        <v>0</v>
      </c>
      <c r="H81" s="316"/>
      <c r="I81" s="317" t="s">
        <v>182</v>
      </c>
      <c r="J81" s="318">
        <f>SUMIF(J74:J80,"&gt;0")</f>
        <v>0</v>
      </c>
      <c r="P81" s="168"/>
      <c r="Q81" s="46"/>
      <c r="R81" s="80"/>
      <c r="T81" s="347"/>
      <c r="U81" s="348"/>
      <c r="V81" s="10" t="s">
        <v>218</v>
      </c>
      <c r="W81" s="6"/>
      <c r="X81" s="6"/>
      <c r="Y81" s="6"/>
      <c r="Z81" s="6"/>
      <c r="AA81" s="8"/>
    </row>
    <row r="82" ht="15.75" customHeight="1">
      <c r="A82" s="121"/>
      <c r="H82" s="121"/>
      <c r="P82" s="168"/>
      <c r="Q82" s="46"/>
      <c r="R82" s="80"/>
      <c r="T82" s="347"/>
      <c r="U82" s="348"/>
      <c r="V82" s="10" t="s">
        <v>218</v>
      </c>
      <c r="W82" s="6"/>
      <c r="X82" s="6"/>
      <c r="Y82" s="6"/>
      <c r="Z82" s="6"/>
      <c r="AA82" s="8"/>
    </row>
    <row r="83" ht="15.75" customHeight="1">
      <c r="A83" s="121"/>
      <c r="H83" s="121"/>
      <c r="P83" s="168"/>
      <c r="Q83" s="46"/>
      <c r="R83" s="80"/>
      <c r="T83" s="374"/>
      <c r="U83" s="79"/>
      <c r="V83" s="10" t="s">
        <v>218</v>
      </c>
      <c r="W83" s="6"/>
      <c r="X83" s="6"/>
      <c r="Y83" s="6"/>
      <c r="Z83" s="6"/>
      <c r="AA83" s="8"/>
    </row>
    <row r="84" ht="15.75" customHeight="1">
      <c r="A84" s="121"/>
      <c r="B84" s="389"/>
      <c r="C84" s="389"/>
      <c r="D84" s="389"/>
      <c r="E84" s="389"/>
      <c r="F84" s="389"/>
      <c r="G84" s="389"/>
      <c r="H84" s="390"/>
      <c r="I84" s="389"/>
      <c r="J84" s="389"/>
      <c r="K84" s="389"/>
      <c r="L84" s="389"/>
      <c r="P84" s="168"/>
      <c r="Q84" s="46"/>
      <c r="R84" s="80"/>
      <c r="T84" s="9" t="s">
        <v>219</v>
      </c>
      <c r="U84" s="8"/>
      <c r="V84" s="10" t="s">
        <v>220</v>
      </c>
      <c r="W84" s="6"/>
      <c r="X84" s="6"/>
      <c r="Y84" s="6"/>
      <c r="Z84" s="6"/>
      <c r="AA84" s="8"/>
    </row>
    <row r="85" ht="15.75" customHeight="1">
      <c r="A85" s="121"/>
      <c r="B85" s="389"/>
      <c r="C85" s="389"/>
      <c r="D85" s="389"/>
      <c r="E85" s="389"/>
      <c r="F85" s="389"/>
      <c r="G85" s="389"/>
      <c r="H85" s="390"/>
      <c r="I85" s="389"/>
      <c r="J85" s="389"/>
      <c r="K85" s="389"/>
      <c r="L85" s="389"/>
      <c r="P85" s="168"/>
      <c r="Q85" s="46"/>
      <c r="R85" s="80"/>
    </row>
    <row r="86" ht="24.0" customHeight="1">
      <c r="A86" s="121"/>
      <c r="B86" s="391"/>
      <c r="C86" s="391"/>
      <c r="D86" s="391"/>
      <c r="E86" s="391"/>
      <c r="F86" s="391"/>
      <c r="G86" s="97"/>
      <c r="H86" s="392"/>
      <c r="I86" s="97"/>
      <c r="J86" s="355" t="s">
        <v>62</v>
      </c>
      <c r="K86" s="8"/>
      <c r="L86" s="97"/>
      <c r="P86" s="168"/>
      <c r="Q86" s="46"/>
      <c r="R86" s="80"/>
    </row>
    <row r="87" ht="31.5" customHeight="1">
      <c r="A87" s="121"/>
      <c r="B87" s="393" t="s">
        <v>221</v>
      </c>
      <c r="F87" s="359"/>
      <c r="G87" s="97"/>
      <c r="H87" s="392"/>
      <c r="I87" s="97"/>
      <c r="J87" s="394" t="s">
        <v>135</v>
      </c>
      <c r="K87" s="395">
        <f t="shared" ref="K87:K92" si="18">K67</f>
        <v>600</v>
      </c>
      <c r="L87" s="97"/>
      <c r="P87" s="168"/>
      <c r="Q87" s="46"/>
      <c r="R87" s="80"/>
    </row>
    <row r="88" ht="15.75" customHeight="1">
      <c r="A88" s="121"/>
      <c r="B88" s="148"/>
      <c r="C88" s="364"/>
      <c r="D88" s="364"/>
      <c r="E88" s="364"/>
      <c r="F88" s="110"/>
      <c r="G88" s="97"/>
      <c r="H88" s="392"/>
      <c r="I88" s="97"/>
      <c r="J88" s="396" t="s">
        <v>140</v>
      </c>
      <c r="K88" s="397">
        <f t="shared" si="18"/>
        <v>22.22222222</v>
      </c>
      <c r="L88" s="97"/>
      <c r="P88" s="168"/>
      <c r="Q88" s="46"/>
      <c r="R88" s="80"/>
    </row>
    <row r="89" ht="15.75" customHeight="1">
      <c r="A89" s="121"/>
      <c r="B89" s="97"/>
      <c r="C89" s="97"/>
      <c r="D89" s="97"/>
      <c r="E89" s="97"/>
      <c r="F89" s="97"/>
      <c r="G89" s="97"/>
      <c r="H89" s="392"/>
      <c r="I89" s="97"/>
      <c r="J89" s="396" t="s">
        <v>144</v>
      </c>
      <c r="K89" s="397">
        <f t="shared" si="18"/>
        <v>3.636363636</v>
      </c>
      <c r="L89" s="97"/>
      <c r="P89" s="168"/>
      <c r="Q89" s="46"/>
      <c r="R89" s="80"/>
    </row>
    <row r="90" ht="15.75" customHeight="1">
      <c r="A90" s="121"/>
      <c r="B90" s="97"/>
      <c r="C90" s="97"/>
      <c r="D90" s="97"/>
      <c r="E90" s="97"/>
      <c r="F90" s="97"/>
      <c r="G90" s="97"/>
      <c r="H90" s="392"/>
      <c r="I90" s="97"/>
      <c r="J90" s="396" t="s">
        <v>203</v>
      </c>
      <c r="K90" s="398" t="str">
        <f t="shared" si="18"/>
        <v>x</v>
      </c>
      <c r="L90" s="399"/>
    </row>
    <row r="91" ht="15.75" customHeight="1">
      <c r="A91" s="121"/>
      <c r="B91" s="97"/>
      <c r="C91" s="97"/>
      <c r="D91" s="97"/>
      <c r="E91" s="97"/>
      <c r="F91" s="97"/>
      <c r="G91" s="97"/>
      <c r="H91" s="392"/>
      <c r="I91" s="97"/>
      <c r="J91" s="396" t="s">
        <v>205</v>
      </c>
      <c r="K91" s="400">
        <f t="shared" si="18"/>
        <v>165</v>
      </c>
      <c r="L91" s="97"/>
    </row>
    <row r="92" ht="15.75" customHeight="1">
      <c r="A92" s="121"/>
      <c r="B92" s="391"/>
      <c r="C92" s="391"/>
      <c r="D92" s="391"/>
      <c r="E92" s="391"/>
      <c r="F92" s="391"/>
      <c r="G92" s="391"/>
      <c r="H92" s="401"/>
      <c r="I92" s="391"/>
      <c r="J92" s="396" t="s">
        <v>152</v>
      </c>
      <c r="K92" s="400">
        <f t="shared" si="18"/>
        <v>6.111111111</v>
      </c>
      <c r="L92" s="391"/>
    </row>
    <row r="93" ht="15.75" customHeight="1">
      <c r="A93" s="121"/>
      <c r="B93" s="402" t="s">
        <v>156</v>
      </c>
      <c r="C93" s="403" t="s">
        <v>29</v>
      </c>
      <c r="D93" s="403" t="s">
        <v>130</v>
      </c>
      <c r="E93" s="404" t="s">
        <v>157</v>
      </c>
      <c r="F93" s="404" t="s">
        <v>158</v>
      </c>
      <c r="G93" s="193" t="s">
        <v>159</v>
      </c>
      <c r="H93" s="405"/>
      <c r="I93" s="406" t="s">
        <v>161</v>
      </c>
      <c r="J93" s="406" t="s">
        <v>162</v>
      </c>
      <c r="K93" s="403" t="s">
        <v>163</v>
      </c>
      <c r="L93" s="403" t="s">
        <v>57</v>
      </c>
    </row>
    <row r="94" ht="15.75" customHeight="1">
      <c r="A94" s="121"/>
      <c r="B94" s="407">
        <v>1.0</v>
      </c>
      <c r="C94" s="408">
        <f t="shared" ref="C94:C124" si="19">D94</f>
        <v>45824</v>
      </c>
      <c r="D94" s="409">
        <f t="shared" ref="D94:D124" si="20">D25</f>
        <v>45824</v>
      </c>
      <c r="E94" s="235"/>
      <c r="F94" s="235"/>
      <c r="G94" s="410">
        <f t="shared" ref="G94:G124" si="21">F94-E94</f>
        <v>0</v>
      </c>
      <c r="H94" s="411">
        <f t="shared" ref="H94:H127" si="22">H25</f>
        <v>0.4583333333</v>
      </c>
      <c r="I94" s="410">
        <f t="shared" ref="I94:I124" si="23">F94-E94</f>
        <v>0</v>
      </c>
      <c r="J94" s="412">
        <f t="shared" ref="J94:J124" si="24">I94*$L$19*24</f>
        <v>0</v>
      </c>
      <c r="K94" s="413"/>
      <c r="L94" s="413"/>
    </row>
    <row r="95" ht="15.75" customHeight="1">
      <c r="A95" s="121"/>
      <c r="B95" s="407">
        <v>2.0</v>
      </c>
      <c r="C95" s="408">
        <f t="shared" si="19"/>
        <v>45825</v>
      </c>
      <c r="D95" s="409">
        <f t="shared" si="20"/>
        <v>45825</v>
      </c>
      <c r="E95" s="414"/>
      <c r="F95" s="414"/>
      <c r="G95" s="410">
        <f t="shared" si="21"/>
        <v>0</v>
      </c>
      <c r="H95" s="411">
        <f t="shared" si="22"/>
        <v>0.4583333333</v>
      </c>
      <c r="I95" s="410">
        <f t="shared" si="23"/>
        <v>0</v>
      </c>
      <c r="J95" s="412">
        <f t="shared" si="24"/>
        <v>0</v>
      </c>
      <c r="K95" s="413"/>
      <c r="L95" s="413"/>
    </row>
    <row r="96" ht="15.75" customHeight="1">
      <c r="A96" s="121"/>
      <c r="B96" s="407">
        <v>3.0</v>
      </c>
      <c r="C96" s="408">
        <f t="shared" si="19"/>
        <v>45826</v>
      </c>
      <c r="D96" s="409">
        <f t="shared" si="20"/>
        <v>45826</v>
      </c>
      <c r="E96" s="414"/>
      <c r="F96" s="414"/>
      <c r="G96" s="410">
        <f t="shared" si="21"/>
        <v>0</v>
      </c>
      <c r="H96" s="411">
        <f t="shared" si="22"/>
        <v>0.4583333333</v>
      </c>
      <c r="I96" s="410">
        <f t="shared" si="23"/>
        <v>0</v>
      </c>
      <c r="J96" s="412">
        <f t="shared" si="24"/>
        <v>0</v>
      </c>
      <c r="K96" s="413"/>
      <c r="L96" s="413"/>
    </row>
    <row r="97" ht="15.75" customHeight="1">
      <c r="A97" s="121"/>
      <c r="B97" s="407">
        <v>4.0</v>
      </c>
      <c r="C97" s="408">
        <f t="shared" si="19"/>
        <v>45827</v>
      </c>
      <c r="D97" s="409">
        <f t="shared" si="20"/>
        <v>45827</v>
      </c>
      <c r="E97" s="414"/>
      <c r="F97" s="414"/>
      <c r="G97" s="410">
        <f t="shared" si="21"/>
        <v>0</v>
      </c>
      <c r="H97" s="411">
        <f t="shared" si="22"/>
        <v>0</v>
      </c>
      <c r="I97" s="410">
        <f t="shared" si="23"/>
        <v>0</v>
      </c>
      <c r="J97" s="412">
        <f t="shared" si="24"/>
        <v>0</v>
      </c>
      <c r="K97" s="413"/>
      <c r="L97" s="413"/>
    </row>
    <row r="98" ht="15.75" customHeight="1">
      <c r="A98" s="121"/>
      <c r="B98" s="407">
        <v>5.0</v>
      </c>
      <c r="C98" s="415">
        <f t="shared" si="19"/>
        <v>45828</v>
      </c>
      <c r="D98" s="409">
        <f t="shared" si="20"/>
        <v>45828</v>
      </c>
      <c r="E98" s="414"/>
      <c r="F98" s="414"/>
      <c r="G98" s="410">
        <f t="shared" si="21"/>
        <v>0</v>
      </c>
      <c r="H98" s="411">
        <f t="shared" si="22"/>
        <v>0</v>
      </c>
      <c r="I98" s="410">
        <f t="shared" si="23"/>
        <v>0</v>
      </c>
      <c r="J98" s="412">
        <f t="shared" si="24"/>
        <v>0</v>
      </c>
      <c r="K98" s="413"/>
      <c r="L98" s="413"/>
    </row>
    <row r="99" ht="15.75" customHeight="1">
      <c r="A99" s="121"/>
      <c r="B99" s="407">
        <v>6.0</v>
      </c>
      <c r="C99" s="408">
        <f t="shared" si="19"/>
        <v>45829</v>
      </c>
      <c r="D99" s="409">
        <f t="shared" si="20"/>
        <v>45829</v>
      </c>
      <c r="E99" s="414"/>
      <c r="F99" s="414"/>
      <c r="G99" s="410">
        <f t="shared" si="21"/>
        <v>0</v>
      </c>
      <c r="H99" s="411">
        <f t="shared" si="22"/>
        <v>0</v>
      </c>
      <c r="I99" s="410">
        <f t="shared" si="23"/>
        <v>0</v>
      </c>
      <c r="J99" s="412">
        <f t="shared" si="24"/>
        <v>0</v>
      </c>
      <c r="K99" s="413"/>
      <c r="L99" s="413"/>
    </row>
    <row r="100" ht="15.75" customHeight="1">
      <c r="A100" s="121"/>
      <c r="B100" s="407">
        <v>7.0</v>
      </c>
      <c r="C100" s="408">
        <f t="shared" si="19"/>
        <v>45830</v>
      </c>
      <c r="D100" s="409">
        <f t="shared" si="20"/>
        <v>45830</v>
      </c>
      <c r="E100" s="414"/>
      <c r="F100" s="414"/>
      <c r="G100" s="410">
        <f t="shared" si="21"/>
        <v>0</v>
      </c>
      <c r="H100" s="411">
        <f t="shared" si="22"/>
        <v>0</v>
      </c>
      <c r="I100" s="410">
        <f t="shared" si="23"/>
        <v>0</v>
      </c>
      <c r="J100" s="412">
        <f t="shared" si="24"/>
        <v>0</v>
      </c>
      <c r="K100" s="413"/>
      <c r="L100" s="413"/>
      <c r="R100" s="367"/>
    </row>
    <row r="101" ht="15.75" customHeight="1">
      <c r="A101" s="121"/>
      <c r="B101" s="407">
        <v>8.0</v>
      </c>
      <c r="C101" s="408">
        <f t="shared" si="19"/>
        <v>45831</v>
      </c>
      <c r="D101" s="409">
        <f t="shared" si="20"/>
        <v>45831</v>
      </c>
      <c r="E101" s="414"/>
      <c r="F101" s="414"/>
      <c r="G101" s="410">
        <f t="shared" si="21"/>
        <v>0</v>
      </c>
      <c r="H101" s="411">
        <f t="shared" si="22"/>
        <v>0.4583333333</v>
      </c>
      <c r="I101" s="410">
        <f t="shared" si="23"/>
        <v>0</v>
      </c>
      <c r="J101" s="412">
        <f t="shared" si="24"/>
        <v>0</v>
      </c>
      <c r="K101" s="413"/>
      <c r="L101" s="413"/>
      <c r="R101" s="367"/>
    </row>
    <row r="102" ht="15.75" customHeight="1">
      <c r="A102" s="121"/>
      <c r="B102" s="407">
        <v>9.0</v>
      </c>
      <c r="C102" s="408">
        <f t="shared" si="19"/>
        <v>45832</v>
      </c>
      <c r="D102" s="409">
        <f t="shared" si="20"/>
        <v>45832</v>
      </c>
      <c r="E102" s="414"/>
      <c r="F102" s="414"/>
      <c r="G102" s="410">
        <f t="shared" si="21"/>
        <v>0</v>
      </c>
      <c r="H102" s="411">
        <f t="shared" si="22"/>
        <v>0.4583333333</v>
      </c>
      <c r="I102" s="410">
        <f t="shared" si="23"/>
        <v>0</v>
      </c>
      <c r="J102" s="412">
        <f t="shared" si="24"/>
        <v>0</v>
      </c>
      <c r="K102" s="413"/>
      <c r="L102" s="413"/>
      <c r="R102" s="367"/>
    </row>
    <row r="103" ht="15.75" customHeight="1">
      <c r="A103" s="121"/>
      <c r="B103" s="407">
        <v>10.0</v>
      </c>
      <c r="C103" s="408">
        <f t="shared" si="19"/>
        <v>45833</v>
      </c>
      <c r="D103" s="409">
        <f t="shared" si="20"/>
        <v>45833</v>
      </c>
      <c r="E103" s="414"/>
      <c r="F103" s="414"/>
      <c r="G103" s="410">
        <f t="shared" si="21"/>
        <v>0</v>
      </c>
      <c r="H103" s="411">
        <f t="shared" si="22"/>
        <v>0.4583333333</v>
      </c>
      <c r="I103" s="410">
        <f t="shared" si="23"/>
        <v>0</v>
      </c>
      <c r="J103" s="412">
        <f t="shared" si="24"/>
        <v>0</v>
      </c>
      <c r="K103" s="413"/>
      <c r="L103" s="413"/>
      <c r="R103" s="367"/>
    </row>
    <row r="104" ht="15.75" customHeight="1">
      <c r="A104" s="121"/>
      <c r="B104" s="407">
        <v>11.0</v>
      </c>
      <c r="C104" s="408">
        <f t="shared" si="19"/>
        <v>45834</v>
      </c>
      <c r="D104" s="409">
        <f t="shared" si="20"/>
        <v>45834</v>
      </c>
      <c r="E104" s="414"/>
      <c r="F104" s="414"/>
      <c r="G104" s="410">
        <f t="shared" si="21"/>
        <v>0</v>
      </c>
      <c r="H104" s="411">
        <f t="shared" si="22"/>
        <v>0</v>
      </c>
      <c r="I104" s="410">
        <f t="shared" si="23"/>
        <v>0</v>
      </c>
      <c r="J104" s="412">
        <f t="shared" si="24"/>
        <v>0</v>
      </c>
      <c r="K104" s="413"/>
      <c r="L104" s="413"/>
      <c r="R104" s="367"/>
    </row>
    <row r="105" ht="15.75" customHeight="1">
      <c r="A105" s="121"/>
      <c r="B105" s="407">
        <v>12.0</v>
      </c>
      <c r="C105" s="415">
        <f t="shared" si="19"/>
        <v>45835</v>
      </c>
      <c r="D105" s="409">
        <f t="shared" si="20"/>
        <v>45835</v>
      </c>
      <c r="E105" s="414"/>
      <c r="F105" s="414"/>
      <c r="G105" s="410">
        <f t="shared" si="21"/>
        <v>0</v>
      </c>
      <c r="H105" s="411">
        <f t="shared" si="22"/>
        <v>0</v>
      </c>
      <c r="I105" s="410">
        <f t="shared" si="23"/>
        <v>0</v>
      </c>
      <c r="J105" s="412">
        <f t="shared" si="24"/>
        <v>0</v>
      </c>
      <c r="K105" s="413"/>
      <c r="L105" s="413"/>
      <c r="R105" s="367"/>
    </row>
    <row r="106" ht="15.75" customHeight="1">
      <c r="A106" s="121"/>
      <c r="B106" s="407">
        <v>13.0</v>
      </c>
      <c r="C106" s="408">
        <f t="shared" si="19"/>
        <v>45836</v>
      </c>
      <c r="D106" s="409">
        <f t="shared" si="20"/>
        <v>45836</v>
      </c>
      <c r="E106" s="414"/>
      <c r="F106" s="414"/>
      <c r="G106" s="410">
        <f t="shared" si="21"/>
        <v>0</v>
      </c>
      <c r="H106" s="411">
        <f t="shared" si="22"/>
        <v>0</v>
      </c>
      <c r="I106" s="410">
        <f t="shared" si="23"/>
        <v>0</v>
      </c>
      <c r="J106" s="412">
        <f t="shared" si="24"/>
        <v>0</v>
      </c>
      <c r="K106" s="413"/>
      <c r="L106" s="413"/>
      <c r="R106" s="367"/>
      <c r="Y106" s="5" t="s">
        <v>222</v>
      </c>
    </row>
    <row r="107" ht="15.75" customHeight="1">
      <c r="A107" s="121"/>
      <c r="B107" s="407">
        <v>14.0</v>
      </c>
      <c r="C107" s="408">
        <f t="shared" si="19"/>
        <v>45837</v>
      </c>
      <c r="D107" s="409">
        <f t="shared" si="20"/>
        <v>45837</v>
      </c>
      <c r="E107" s="414"/>
      <c r="F107" s="414"/>
      <c r="G107" s="410">
        <f t="shared" si="21"/>
        <v>0</v>
      </c>
      <c r="H107" s="411">
        <f t="shared" si="22"/>
        <v>0</v>
      </c>
      <c r="I107" s="410">
        <f t="shared" si="23"/>
        <v>0</v>
      </c>
      <c r="J107" s="412">
        <f t="shared" si="24"/>
        <v>0</v>
      </c>
      <c r="K107" s="413"/>
      <c r="L107" s="413"/>
      <c r="R107" s="367"/>
    </row>
    <row r="108" ht="15.75" customHeight="1">
      <c r="A108" s="121"/>
      <c r="B108" s="407">
        <v>15.0</v>
      </c>
      <c r="C108" s="408">
        <f t="shared" si="19"/>
        <v>45838</v>
      </c>
      <c r="D108" s="409">
        <f t="shared" si="20"/>
        <v>45838</v>
      </c>
      <c r="E108" s="414"/>
      <c r="F108" s="414"/>
      <c r="G108" s="410">
        <f t="shared" si="21"/>
        <v>0</v>
      </c>
      <c r="H108" s="411">
        <f t="shared" si="22"/>
        <v>0.4583333333</v>
      </c>
      <c r="I108" s="410">
        <f t="shared" si="23"/>
        <v>0</v>
      </c>
      <c r="J108" s="412">
        <f t="shared" si="24"/>
        <v>0</v>
      </c>
      <c r="K108" s="413"/>
      <c r="L108" s="413"/>
      <c r="R108" s="367"/>
    </row>
    <row r="109" ht="15.75" customHeight="1">
      <c r="A109" s="121"/>
      <c r="B109" s="407">
        <v>16.0</v>
      </c>
      <c r="C109" s="408">
        <f t="shared" si="19"/>
        <v>45839</v>
      </c>
      <c r="D109" s="409">
        <f t="shared" si="20"/>
        <v>45839</v>
      </c>
      <c r="E109" s="414"/>
      <c r="F109" s="414"/>
      <c r="G109" s="410">
        <f t="shared" si="21"/>
        <v>0</v>
      </c>
      <c r="H109" s="411">
        <f t="shared" si="22"/>
        <v>0.4583333333</v>
      </c>
      <c r="I109" s="410">
        <f t="shared" si="23"/>
        <v>0</v>
      </c>
      <c r="J109" s="412">
        <f t="shared" si="24"/>
        <v>0</v>
      </c>
      <c r="K109" s="413"/>
      <c r="L109" s="413"/>
      <c r="R109" s="367"/>
    </row>
    <row r="110" ht="15.75" customHeight="1">
      <c r="A110" s="121"/>
      <c r="B110" s="407">
        <v>17.0</v>
      </c>
      <c r="C110" s="408">
        <f t="shared" si="19"/>
        <v>45840</v>
      </c>
      <c r="D110" s="409">
        <f t="shared" si="20"/>
        <v>45840</v>
      </c>
      <c r="E110" s="414"/>
      <c r="F110" s="414"/>
      <c r="G110" s="410">
        <f t="shared" si="21"/>
        <v>0</v>
      </c>
      <c r="H110" s="411">
        <f t="shared" si="22"/>
        <v>0.4583333333</v>
      </c>
      <c r="I110" s="410">
        <f t="shared" si="23"/>
        <v>0</v>
      </c>
      <c r="J110" s="412">
        <f t="shared" si="24"/>
        <v>0</v>
      </c>
      <c r="K110" s="413"/>
      <c r="L110" s="413"/>
      <c r="R110" s="367"/>
    </row>
    <row r="111" ht="15.75" customHeight="1">
      <c r="A111" s="121"/>
      <c r="B111" s="407">
        <v>18.0</v>
      </c>
      <c r="C111" s="408">
        <f t="shared" si="19"/>
        <v>45841</v>
      </c>
      <c r="D111" s="409">
        <f t="shared" si="20"/>
        <v>45841</v>
      </c>
      <c r="E111" s="414"/>
      <c r="F111" s="414"/>
      <c r="G111" s="410">
        <f t="shared" si="21"/>
        <v>0</v>
      </c>
      <c r="H111" s="411">
        <f t="shared" si="22"/>
        <v>0</v>
      </c>
      <c r="I111" s="410">
        <f t="shared" si="23"/>
        <v>0</v>
      </c>
      <c r="J111" s="412">
        <f t="shared" si="24"/>
        <v>0</v>
      </c>
      <c r="K111" s="413"/>
      <c r="L111" s="413"/>
      <c r="R111" s="367"/>
    </row>
    <row r="112" ht="15.75" customHeight="1">
      <c r="A112" s="121"/>
      <c r="B112" s="407">
        <v>19.0</v>
      </c>
      <c r="C112" s="415">
        <f t="shared" si="19"/>
        <v>45842</v>
      </c>
      <c r="D112" s="409">
        <f t="shared" si="20"/>
        <v>45842</v>
      </c>
      <c r="E112" s="414"/>
      <c r="F112" s="414"/>
      <c r="G112" s="410">
        <f t="shared" si="21"/>
        <v>0</v>
      </c>
      <c r="H112" s="411">
        <f t="shared" si="22"/>
        <v>0</v>
      </c>
      <c r="I112" s="410">
        <f t="shared" si="23"/>
        <v>0</v>
      </c>
      <c r="J112" s="412">
        <f t="shared" si="24"/>
        <v>0</v>
      </c>
      <c r="K112" s="413"/>
      <c r="L112" s="413"/>
      <c r="R112" s="367"/>
    </row>
    <row r="113" ht="15.75" customHeight="1">
      <c r="A113" s="121"/>
      <c r="B113" s="407">
        <v>20.0</v>
      </c>
      <c r="C113" s="408">
        <f t="shared" si="19"/>
        <v>45843</v>
      </c>
      <c r="D113" s="409">
        <f t="shared" si="20"/>
        <v>45843</v>
      </c>
      <c r="E113" s="414"/>
      <c r="F113" s="414"/>
      <c r="G113" s="410">
        <f t="shared" si="21"/>
        <v>0</v>
      </c>
      <c r="H113" s="411">
        <f t="shared" si="22"/>
        <v>0</v>
      </c>
      <c r="I113" s="410">
        <f t="shared" si="23"/>
        <v>0</v>
      </c>
      <c r="J113" s="412">
        <f t="shared" si="24"/>
        <v>0</v>
      </c>
      <c r="K113" s="413"/>
      <c r="L113" s="413"/>
      <c r="R113" s="367"/>
    </row>
    <row r="114" ht="15.75" customHeight="1">
      <c r="A114" s="121"/>
      <c r="B114" s="407">
        <v>21.0</v>
      </c>
      <c r="C114" s="408">
        <f t="shared" si="19"/>
        <v>45844</v>
      </c>
      <c r="D114" s="409">
        <f t="shared" si="20"/>
        <v>45844</v>
      </c>
      <c r="E114" s="414"/>
      <c r="F114" s="414"/>
      <c r="G114" s="410">
        <f t="shared" si="21"/>
        <v>0</v>
      </c>
      <c r="H114" s="411">
        <f t="shared" si="22"/>
        <v>0</v>
      </c>
      <c r="I114" s="410">
        <f t="shared" si="23"/>
        <v>0</v>
      </c>
      <c r="J114" s="412">
        <f t="shared" si="24"/>
        <v>0</v>
      </c>
      <c r="K114" s="413"/>
      <c r="L114" s="413"/>
      <c r="R114" s="367"/>
    </row>
    <row r="115" ht="15.75" customHeight="1">
      <c r="A115" s="121"/>
      <c r="B115" s="407">
        <v>22.0</v>
      </c>
      <c r="C115" s="408">
        <f t="shared" si="19"/>
        <v>45845</v>
      </c>
      <c r="D115" s="409">
        <f t="shared" si="20"/>
        <v>45845</v>
      </c>
      <c r="E115" s="414"/>
      <c r="F115" s="414"/>
      <c r="G115" s="410">
        <f t="shared" si="21"/>
        <v>0</v>
      </c>
      <c r="H115" s="411">
        <f t="shared" si="22"/>
        <v>0.4583333333</v>
      </c>
      <c r="I115" s="410">
        <f t="shared" si="23"/>
        <v>0</v>
      </c>
      <c r="J115" s="412">
        <f t="shared" si="24"/>
        <v>0</v>
      </c>
      <c r="K115" s="413"/>
      <c r="L115" s="413"/>
      <c r="R115" s="367"/>
    </row>
    <row r="116" ht="15.75" customHeight="1">
      <c r="A116" s="121"/>
      <c r="B116" s="407">
        <v>23.0</v>
      </c>
      <c r="C116" s="408">
        <f t="shared" si="19"/>
        <v>45846</v>
      </c>
      <c r="D116" s="409">
        <f t="shared" si="20"/>
        <v>45846</v>
      </c>
      <c r="E116" s="414"/>
      <c r="F116" s="414"/>
      <c r="G116" s="410">
        <f t="shared" si="21"/>
        <v>0</v>
      </c>
      <c r="H116" s="411">
        <f t="shared" si="22"/>
        <v>0.4583333333</v>
      </c>
      <c r="I116" s="410">
        <f t="shared" si="23"/>
        <v>0</v>
      </c>
      <c r="J116" s="412">
        <f t="shared" si="24"/>
        <v>0</v>
      </c>
      <c r="K116" s="413"/>
      <c r="L116" s="413"/>
      <c r="R116" s="367"/>
    </row>
    <row r="117" ht="15.75" customHeight="1">
      <c r="A117" s="121"/>
      <c r="B117" s="407">
        <v>24.0</v>
      </c>
      <c r="C117" s="408">
        <f t="shared" si="19"/>
        <v>45847</v>
      </c>
      <c r="D117" s="409">
        <f t="shared" si="20"/>
        <v>45847</v>
      </c>
      <c r="E117" s="414"/>
      <c r="F117" s="414"/>
      <c r="G117" s="410">
        <f t="shared" si="21"/>
        <v>0</v>
      </c>
      <c r="H117" s="411">
        <f t="shared" si="22"/>
        <v>0.4583333333</v>
      </c>
      <c r="I117" s="410">
        <f t="shared" si="23"/>
        <v>0</v>
      </c>
      <c r="J117" s="412">
        <f t="shared" si="24"/>
        <v>0</v>
      </c>
      <c r="K117" s="413"/>
      <c r="L117" s="413"/>
      <c r="R117" s="367"/>
    </row>
    <row r="118" ht="15.75" customHeight="1">
      <c r="A118" s="121"/>
      <c r="B118" s="407">
        <v>25.0</v>
      </c>
      <c r="C118" s="408">
        <f t="shared" si="19"/>
        <v>45848</v>
      </c>
      <c r="D118" s="409">
        <f t="shared" si="20"/>
        <v>45848</v>
      </c>
      <c r="E118" s="416">
        <v>0.3333333333333333</v>
      </c>
      <c r="F118" s="416">
        <v>0.5833333333333334</v>
      </c>
      <c r="G118" s="410">
        <f t="shared" si="21"/>
        <v>0.25</v>
      </c>
      <c r="H118" s="411">
        <f t="shared" si="22"/>
        <v>0</v>
      </c>
      <c r="I118" s="410">
        <f t="shared" si="23"/>
        <v>0.25</v>
      </c>
      <c r="J118" s="412">
        <f t="shared" si="24"/>
        <v>21.81818182</v>
      </c>
      <c r="K118" s="413"/>
      <c r="L118" s="413"/>
      <c r="R118" s="367"/>
    </row>
    <row r="119" ht="15.75" customHeight="1">
      <c r="A119" s="121"/>
      <c r="B119" s="407">
        <v>26.0</v>
      </c>
      <c r="C119" s="415">
        <f t="shared" si="19"/>
        <v>45849</v>
      </c>
      <c r="D119" s="409">
        <f t="shared" si="20"/>
        <v>45849</v>
      </c>
      <c r="E119" s="414"/>
      <c r="F119" s="414"/>
      <c r="G119" s="410">
        <f t="shared" si="21"/>
        <v>0</v>
      </c>
      <c r="H119" s="411">
        <f t="shared" si="22"/>
        <v>0</v>
      </c>
      <c r="I119" s="410">
        <f t="shared" si="23"/>
        <v>0</v>
      </c>
      <c r="J119" s="412">
        <f t="shared" si="24"/>
        <v>0</v>
      </c>
      <c r="K119" s="413"/>
      <c r="L119" s="413"/>
      <c r="R119" s="367"/>
    </row>
    <row r="120" ht="15.75" customHeight="1">
      <c r="A120" s="121"/>
      <c r="B120" s="417">
        <v>27.0</v>
      </c>
      <c r="C120" s="408">
        <f t="shared" si="19"/>
        <v>45850</v>
      </c>
      <c r="D120" s="409">
        <f t="shared" si="20"/>
        <v>45850</v>
      </c>
      <c r="E120" s="414"/>
      <c r="F120" s="414"/>
      <c r="G120" s="410">
        <f t="shared" si="21"/>
        <v>0</v>
      </c>
      <c r="H120" s="411">
        <f t="shared" si="22"/>
        <v>0</v>
      </c>
      <c r="I120" s="410">
        <f t="shared" si="23"/>
        <v>0</v>
      </c>
      <c r="J120" s="412">
        <f t="shared" si="24"/>
        <v>0</v>
      </c>
      <c r="K120" s="413"/>
      <c r="L120" s="413"/>
      <c r="R120" s="367"/>
    </row>
    <row r="121" ht="15.75" customHeight="1">
      <c r="A121" s="121"/>
      <c r="B121" s="417">
        <v>28.0</v>
      </c>
      <c r="C121" s="408">
        <f t="shared" si="19"/>
        <v>45851</v>
      </c>
      <c r="D121" s="409">
        <f t="shared" si="20"/>
        <v>45851</v>
      </c>
      <c r="E121" s="414"/>
      <c r="F121" s="414"/>
      <c r="G121" s="410">
        <f t="shared" si="21"/>
        <v>0</v>
      </c>
      <c r="H121" s="411">
        <f t="shared" si="22"/>
        <v>0</v>
      </c>
      <c r="I121" s="410">
        <f t="shared" si="23"/>
        <v>0</v>
      </c>
      <c r="J121" s="412">
        <f t="shared" si="24"/>
        <v>0</v>
      </c>
      <c r="K121" s="413"/>
      <c r="L121" s="413"/>
      <c r="R121" s="367"/>
    </row>
    <row r="122" ht="15.75" customHeight="1">
      <c r="A122" s="121"/>
      <c r="B122" s="417">
        <v>29.0</v>
      </c>
      <c r="C122" s="408">
        <f t="shared" si="19"/>
        <v>45852</v>
      </c>
      <c r="D122" s="409">
        <f t="shared" si="20"/>
        <v>45852</v>
      </c>
      <c r="E122" s="414"/>
      <c r="F122" s="414"/>
      <c r="G122" s="410">
        <f t="shared" si="21"/>
        <v>0</v>
      </c>
      <c r="H122" s="411">
        <f t="shared" si="22"/>
        <v>0.4583333333</v>
      </c>
      <c r="I122" s="410">
        <f t="shared" si="23"/>
        <v>0</v>
      </c>
      <c r="J122" s="412">
        <f t="shared" si="24"/>
        <v>0</v>
      </c>
      <c r="K122" s="413"/>
      <c r="L122" s="413"/>
      <c r="R122" s="367"/>
    </row>
    <row r="123" ht="15.75" customHeight="1">
      <c r="A123" s="121"/>
      <c r="B123" s="417">
        <v>30.0</v>
      </c>
      <c r="C123" s="408">
        <f t="shared" si="19"/>
        <v>45853</v>
      </c>
      <c r="D123" s="409">
        <f t="shared" si="20"/>
        <v>45853</v>
      </c>
      <c r="E123" s="414"/>
      <c r="F123" s="414"/>
      <c r="G123" s="410">
        <f t="shared" si="21"/>
        <v>0</v>
      </c>
      <c r="H123" s="411">
        <f t="shared" si="22"/>
        <v>0.4583333333</v>
      </c>
      <c r="I123" s="410">
        <f t="shared" si="23"/>
        <v>0</v>
      </c>
      <c r="J123" s="412">
        <f t="shared" si="24"/>
        <v>0</v>
      </c>
      <c r="K123" s="413"/>
      <c r="L123" s="413"/>
      <c r="R123" s="367"/>
    </row>
    <row r="124" ht="15.75" customHeight="1">
      <c r="A124" s="121"/>
      <c r="B124" s="417">
        <v>31.0</v>
      </c>
      <c r="C124" s="408">
        <f t="shared" si="19"/>
        <v>45854</v>
      </c>
      <c r="D124" s="409">
        <f t="shared" si="20"/>
        <v>45854</v>
      </c>
      <c r="E124" s="414"/>
      <c r="F124" s="418"/>
      <c r="G124" s="410">
        <f t="shared" si="21"/>
        <v>0</v>
      </c>
      <c r="H124" s="411">
        <f t="shared" si="22"/>
        <v>0.4583333333</v>
      </c>
      <c r="I124" s="410">
        <f t="shared" si="23"/>
        <v>0</v>
      </c>
      <c r="J124" s="412">
        <f t="shared" si="24"/>
        <v>0</v>
      </c>
      <c r="K124" s="419"/>
      <c r="L124" s="419"/>
      <c r="R124" s="367"/>
    </row>
    <row r="125" ht="21.75" customHeight="1">
      <c r="A125" s="121"/>
      <c r="B125" s="420"/>
      <c r="C125" s="419"/>
      <c r="D125" s="419"/>
      <c r="E125" s="391"/>
      <c r="F125" s="314" t="s">
        <v>181</v>
      </c>
      <c r="G125" s="315">
        <f>SUM(G94:G124)*24</f>
        <v>6</v>
      </c>
      <c r="H125" s="421" t="str">
        <f t="shared" si="22"/>
        <v/>
      </c>
      <c r="I125" s="317" t="s">
        <v>182</v>
      </c>
      <c r="J125" s="318">
        <f>SUMIF(J94:J124,"&lt;0")</f>
        <v>0</v>
      </c>
      <c r="K125" s="422">
        <f>SUM(K94:K124)</f>
        <v>0</v>
      </c>
      <c r="L125" s="422">
        <f>K125*K89</f>
        <v>0</v>
      </c>
      <c r="R125" s="367"/>
    </row>
    <row r="126">
      <c r="A126" s="121"/>
      <c r="B126" s="423"/>
      <c r="C126" s="413"/>
      <c r="D126" s="413"/>
      <c r="E126" s="391"/>
      <c r="F126" s="314" t="s">
        <v>184</v>
      </c>
      <c r="G126" s="315">
        <f>K91</f>
        <v>165</v>
      </c>
      <c r="H126" s="421" t="str">
        <f t="shared" si="22"/>
        <v/>
      </c>
      <c r="I126" s="317" t="s">
        <v>185</v>
      </c>
      <c r="J126" s="318">
        <f>SUMIF(J94:J124,"&gt;0")</f>
        <v>21.81818182</v>
      </c>
      <c r="K126" s="413"/>
      <c r="L126" s="413"/>
      <c r="R126" s="367"/>
    </row>
    <row r="127">
      <c r="A127" s="121"/>
      <c r="F127" s="323" t="s">
        <v>187</v>
      </c>
      <c r="G127" s="324">
        <f>G125-G126</f>
        <v>-159</v>
      </c>
      <c r="H127" s="421" t="str">
        <f t="shared" si="22"/>
        <v/>
      </c>
      <c r="I127" s="424" t="s">
        <v>185</v>
      </c>
      <c r="J127" s="325">
        <f>J126+J125</f>
        <v>21.81818182</v>
      </c>
      <c r="R127" s="367"/>
    </row>
    <row r="128" ht="15.75" customHeight="1">
      <c r="A128" s="121"/>
      <c r="F128" s="5"/>
      <c r="H128" s="121"/>
      <c r="R128" s="367"/>
    </row>
    <row r="129" ht="15.75" customHeight="1">
      <c r="A129" s="121"/>
      <c r="F129" s="5"/>
      <c r="H129" s="121"/>
      <c r="R129" s="367"/>
    </row>
    <row r="130" ht="15.75" customHeight="1">
      <c r="A130" s="121"/>
      <c r="F130" s="5"/>
      <c r="H130" s="121"/>
      <c r="R130" s="367"/>
    </row>
    <row r="131" ht="15.75" customHeight="1">
      <c r="A131" s="121"/>
      <c r="F131" s="5"/>
      <c r="H131" s="121"/>
      <c r="R131" s="367"/>
    </row>
    <row r="132" ht="15.75" customHeight="1">
      <c r="A132" s="121"/>
      <c r="F132" s="5"/>
      <c r="H132" s="121"/>
      <c r="R132" s="367"/>
    </row>
    <row r="133" ht="15.75" customHeight="1">
      <c r="A133" s="121"/>
      <c r="F133" s="5"/>
      <c r="H133" s="121"/>
      <c r="R133" s="367"/>
    </row>
    <row r="134" ht="15.75" customHeight="1">
      <c r="A134" s="121"/>
      <c r="F134" s="5"/>
      <c r="H134" s="121"/>
      <c r="R134" s="367"/>
    </row>
    <row r="135" ht="15.75" customHeight="1">
      <c r="A135" s="121"/>
      <c r="F135" s="5"/>
      <c r="H135" s="121"/>
      <c r="R135" s="367"/>
    </row>
    <row r="136" ht="15.75" customHeight="1">
      <c r="A136" s="121"/>
      <c r="F136" s="5"/>
      <c r="H136" s="121"/>
      <c r="R136" s="367"/>
    </row>
    <row r="137" ht="15.75" customHeight="1">
      <c r="A137" s="121"/>
      <c r="F137" s="5"/>
      <c r="H137" s="121"/>
      <c r="R137" s="367"/>
    </row>
    <row r="138" ht="15.75" customHeight="1">
      <c r="A138" s="121"/>
      <c r="F138" s="5"/>
      <c r="H138" s="121"/>
      <c r="R138" s="367"/>
    </row>
    <row r="139" ht="15.75" customHeight="1">
      <c r="A139" s="121"/>
      <c r="F139" s="5"/>
      <c r="H139" s="121"/>
      <c r="R139" s="367"/>
    </row>
    <row r="140" ht="15.75" customHeight="1">
      <c r="A140" s="121"/>
      <c r="E140" s="5"/>
      <c r="F140" s="5"/>
      <c r="G140" s="5"/>
      <c r="H140" s="121"/>
      <c r="I140" s="5"/>
      <c r="R140" s="367"/>
    </row>
    <row r="141" ht="15.75" customHeight="1">
      <c r="A141" s="121"/>
      <c r="H141" s="121"/>
      <c r="R141" s="367"/>
    </row>
    <row r="142" ht="15.75" customHeight="1">
      <c r="A142" s="121"/>
      <c r="H142" s="121"/>
      <c r="R142" s="367"/>
    </row>
    <row r="143" ht="15.75" customHeight="1">
      <c r="A143" s="121"/>
      <c r="H143" s="121"/>
      <c r="R143" s="367"/>
    </row>
    <row r="144" ht="15.75" customHeight="1">
      <c r="A144" s="121"/>
      <c r="H144" s="121"/>
      <c r="R144" s="367"/>
    </row>
    <row r="145" ht="15.75" customHeight="1">
      <c r="A145" s="121"/>
      <c r="H145" s="121"/>
      <c r="R145" s="367"/>
    </row>
    <row r="146" ht="15.75" customHeight="1">
      <c r="A146" s="121"/>
      <c r="H146" s="121"/>
      <c r="R146" s="367"/>
    </row>
    <row r="147" ht="15.75" customHeight="1">
      <c r="A147" s="121"/>
      <c r="H147" s="121"/>
      <c r="R147" s="367"/>
    </row>
    <row r="148" ht="15.75" customHeight="1">
      <c r="A148" s="121"/>
      <c r="H148" s="121"/>
      <c r="R148" s="367"/>
    </row>
    <row r="149" ht="15.75" customHeight="1">
      <c r="A149" s="121"/>
      <c r="H149" s="121"/>
      <c r="R149" s="367"/>
    </row>
    <row r="150" ht="15.75" customHeight="1">
      <c r="A150" s="121"/>
      <c r="H150" s="121"/>
      <c r="R150" s="367"/>
    </row>
    <row r="151" ht="15.75" customHeight="1">
      <c r="A151" s="121"/>
      <c r="H151" s="121"/>
      <c r="R151" s="367"/>
    </row>
    <row r="152" ht="15.75" customHeight="1">
      <c r="A152" s="121"/>
      <c r="H152" s="121"/>
      <c r="R152" s="367"/>
    </row>
    <row r="153" ht="15.75" customHeight="1">
      <c r="A153" s="121"/>
      <c r="H153" s="121"/>
      <c r="R153" s="367"/>
    </row>
    <row r="154" ht="15.75" customHeight="1">
      <c r="A154" s="121"/>
      <c r="H154" s="121"/>
      <c r="R154" s="367"/>
    </row>
    <row r="155" ht="15.75" customHeight="1">
      <c r="A155" s="121"/>
      <c r="H155" s="121"/>
      <c r="R155" s="367"/>
    </row>
    <row r="156" ht="15.75" customHeight="1">
      <c r="A156" s="121"/>
      <c r="H156" s="121"/>
      <c r="R156" s="367"/>
    </row>
    <row r="157" ht="15.75" customHeight="1">
      <c r="A157" s="121"/>
      <c r="H157" s="121"/>
      <c r="R157" s="367"/>
    </row>
    <row r="158" ht="15.75" customHeight="1">
      <c r="A158" s="121"/>
      <c r="H158" s="121"/>
      <c r="R158" s="367"/>
    </row>
    <row r="159" ht="15.75" customHeight="1">
      <c r="A159" s="121"/>
      <c r="H159" s="121"/>
      <c r="R159" s="367"/>
    </row>
    <row r="160" ht="15.75" customHeight="1">
      <c r="A160" s="121"/>
      <c r="H160" s="121"/>
      <c r="R160" s="367"/>
    </row>
    <row r="161" ht="15.75" customHeight="1">
      <c r="A161" s="121"/>
      <c r="H161" s="121"/>
      <c r="R161" s="367"/>
    </row>
    <row r="162" ht="15.75" customHeight="1">
      <c r="A162" s="121"/>
      <c r="H162" s="121"/>
      <c r="R162" s="367"/>
    </row>
    <row r="163" ht="15.75" customHeight="1">
      <c r="A163" s="121"/>
      <c r="H163" s="121"/>
      <c r="R163" s="367"/>
    </row>
    <row r="164" ht="15.75" customHeight="1">
      <c r="A164" s="121"/>
      <c r="H164" s="121"/>
      <c r="R164" s="367"/>
    </row>
    <row r="165" ht="15.75" customHeight="1">
      <c r="A165" s="121"/>
      <c r="H165" s="121"/>
      <c r="R165" s="367"/>
    </row>
    <row r="166" ht="15.75" customHeight="1">
      <c r="A166" s="121"/>
      <c r="H166" s="121"/>
      <c r="R166" s="367"/>
    </row>
    <row r="167" ht="15.75" customHeight="1">
      <c r="A167" s="121"/>
      <c r="H167" s="121"/>
      <c r="R167" s="367"/>
    </row>
    <row r="168" ht="15.75" customHeight="1">
      <c r="A168" s="121"/>
      <c r="H168" s="121"/>
      <c r="R168" s="367"/>
    </row>
    <row r="169" ht="15.75" customHeight="1">
      <c r="A169" s="121"/>
      <c r="H169" s="121"/>
      <c r="R169" s="367"/>
    </row>
    <row r="170" ht="15.75" customHeight="1">
      <c r="A170" s="121"/>
      <c r="H170" s="121"/>
      <c r="R170" s="367"/>
    </row>
    <row r="171" ht="15.75" customHeight="1">
      <c r="A171" s="121"/>
      <c r="H171" s="121"/>
      <c r="R171" s="367"/>
    </row>
    <row r="172" ht="15.75" customHeight="1">
      <c r="A172" s="121"/>
      <c r="H172" s="121"/>
      <c r="R172" s="367"/>
    </row>
    <row r="173" ht="15.75" customHeight="1">
      <c r="A173" s="121"/>
      <c r="H173" s="121"/>
      <c r="R173" s="367"/>
    </row>
    <row r="174" ht="15.75" customHeight="1">
      <c r="A174" s="121"/>
      <c r="H174" s="121"/>
      <c r="R174" s="367"/>
    </row>
    <row r="175" ht="15.75" customHeight="1">
      <c r="A175" s="121"/>
      <c r="H175" s="121"/>
      <c r="R175" s="367"/>
    </row>
    <row r="176" ht="15.75" customHeight="1">
      <c r="A176" s="121"/>
      <c r="H176" s="121"/>
      <c r="R176" s="367"/>
    </row>
    <row r="177" ht="15.75" customHeight="1">
      <c r="A177" s="121"/>
      <c r="H177" s="121"/>
      <c r="R177" s="367"/>
    </row>
    <row r="178" ht="15.75" customHeight="1">
      <c r="A178" s="121"/>
      <c r="H178" s="121"/>
      <c r="R178" s="367"/>
    </row>
    <row r="179" ht="15.75" customHeight="1">
      <c r="A179" s="121"/>
      <c r="H179" s="121"/>
      <c r="R179" s="367"/>
    </row>
    <row r="180" ht="15.75" customHeight="1">
      <c r="A180" s="121"/>
      <c r="H180" s="121"/>
      <c r="R180" s="367"/>
    </row>
    <row r="181" ht="15.75" customHeight="1">
      <c r="A181" s="121"/>
      <c r="H181" s="121"/>
      <c r="R181" s="367"/>
    </row>
    <row r="182" ht="15.75" customHeight="1">
      <c r="A182" s="121"/>
      <c r="H182" s="121"/>
      <c r="R182" s="367"/>
    </row>
    <row r="183" ht="15.75" customHeight="1">
      <c r="A183" s="121"/>
      <c r="H183" s="121"/>
      <c r="R183" s="367"/>
    </row>
    <row r="184" ht="15.75" customHeight="1">
      <c r="A184" s="121"/>
      <c r="H184" s="121"/>
    </row>
    <row r="185" ht="15.75" customHeight="1">
      <c r="A185" s="121"/>
      <c r="H185" s="121"/>
    </row>
    <row r="186" ht="15.75" customHeight="1">
      <c r="A186" s="121"/>
      <c r="H186" s="121"/>
    </row>
    <row r="187" ht="15.75" customHeight="1">
      <c r="A187" s="121"/>
      <c r="H187" s="121"/>
    </row>
    <row r="188" ht="15.75" customHeight="1">
      <c r="A188" s="121"/>
      <c r="H188" s="121"/>
    </row>
    <row r="189" ht="15.75" customHeight="1">
      <c r="A189" s="121"/>
      <c r="H189" s="121"/>
    </row>
    <row r="190" ht="15.75" customHeight="1">
      <c r="A190" s="121"/>
      <c r="H190" s="121"/>
    </row>
    <row r="191" ht="15.75" customHeight="1">
      <c r="A191" s="121"/>
      <c r="H191" s="121"/>
    </row>
    <row r="192" ht="15.75" customHeight="1">
      <c r="A192" s="121"/>
      <c r="H192" s="121"/>
    </row>
    <row r="193" ht="15.75" customHeight="1">
      <c r="A193" s="121"/>
      <c r="H193" s="121"/>
    </row>
    <row r="194" ht="15.75" customHeight="1">
      <c r="A194" s="121"/>
      <c r="H194" s="121"/>
    </row>
    <row r="195" ht="15.75" customHeight="1">
      <c r="A195" s="121"/>
      <c r="H195" s="121"/>
    </row>
    <row r="196" ht="15.75" customHeight="1">
      <c r="A196" s="121"/>
      <c r="H196" s="121"/>
    </row>
    <row r="197" ht="15.75" customHeight="1">
      <c r="A197" s="121"/>
      <c r="H197" s="121"/>
    </row>
    <row r="198" ht="15.75" customHeight="1">
      <c r="A198" s="121"/>
      <c r="H198" s="121"/>
    </row>
    <row r="199" ht="15.75" customHeight="1">
      <c r="A199" s="121"/>
      <c r="H199" s="121"/>
    </row>
    <row r="200" ht="15.75" customHeight="1">
      <c r="A200" s="121"/>
      <c r="H200" s="121"/>
    </row>
    <row r="201" ht="15.75" customHeight="1">
      <c r="A201" s="121"/>
      <c r="H201" s="121"/>
    </row>
    <row r="202" ht="15.75" customHeight="1">
      <c r="A202" s="121"/>
      <c r="H202" s="121"/>
    </row>
    <row r="203" ht="15.75" customHeight="1">
      <c r="A203" s="121"/>
      <c r="H203" s="121"/>
    </row>
    <row r="204" ht="15.75" customHeight="1">
      <c r="A204" s="121"/>
      <c r="H204" s="121"/>
    </row>
    <row r="205" ht="15.75" customHeight="1">
      <c r="A205" s="121"/>
      <c r="H205" s="121"/>
    </row>
    <row r="206" ht="15.75" customHeight="1">
      <c r="A206" s="121"/>
      <c r="H206" s="121"/>
    </row>
    <row r="207" ht="15.75" customHeight="1">
      <c r="A207" s="121"/>
      <c r="H207" s="121"/>
    </row>
    <row r="208" ht="15.75" customHeight="1">
      <c r="A208" s="121"/>
      <c r="H208" s="121"/>
    </row>
    <row r="209" ht="15.75" customHeight="1">
      <c r="A209" s="121"/>
      <c r="H209" s="121"/>
    </row>
    <row r="210" ht="15.75" customHeight="1">
      <c r="A210" s="121"/>
      <c r="H210" s="121"/>
    </row>
    <row r="211" ht="15.75" customHeight="1">
      <c r="A211" s="121"/>
      <c r="H211" s="121"/>
    </row>
    <row r="212" ht="15.75" customHeight="1">
      <c r="A212" s="121"/>
      <c r="H212" s="121"/>
    </row>
    <row r="213" ht="15.75" customHeight="1">
      <c r="A213" s="121"/>
      <c r="H213" s="121"/>
    </row>
    <row r="214" ht="15.75" customHeight="1">
      <c r="A214" s="121"/>
      <c r="H214" s="121"/>
    </row>
    <row r="215" ht="15.75" customHeight="1">
      <c r="A215" s="121"/>
      <c r="H215" s="121"/>
    </row>
    <row r="216" ht="15.75" customHeight="1">
      <c r="A216" s="121"/>
      <c r="H216" s="121"/>
    </row>
    <row r="217" ht="15.75" customHeight="1">
      <c r="A217" s="121"/>
      <c r="H217" s="121"/>
    </row>
    <row r="218" ht="15.75" customHeight="1">
      <c r="A218" s="121"/>
      <c r="H218" s="121"/>
    </row>
    <row r="219" ht="15.75" customHeight="1">
      <c r="A219" s="121"/>
      <c r="H219" s="121"/>
    </row>
    <row r="220" ht="15.75" customHeight="1">
      <c r="A220" s="121"/>
      <c r="H220" s="121"/>
    </row>
    <row r="221" ht="15.75" customHeight="1">
      <c r="A221" s="121"/>
      <c r="H221" s="121"/>
    </row>
    <row r="222" ht="15.75" customHeight="1">
      <c r="A222" s="121"/>
      <c r="H222" s="121"/>
    </row>
    <row r="223" ht="15.75" customHeight="1">
      <c r="A223" s="121"/>
      <c r="H223" s="121"/>
    </row>
    <row r="224" ht="15.75" customHeight="1">
      <c r="A224" s="121"/>
      <c r="H224" s="121"/>
    </row>
    <row r="225" ht="15.75" customHeight="1">
      <c r="A225" s="121"/>
      <c r="H225" s="121"/>
    </row>
    <row r="226" ht="15.75" customHeight="1">
      <c r="A226" s="121"/>
      <c r="H226" s="121"/>
    </row>
    <row r="227" ht="15.75" customHeight="1">
      <c r="A227" s="121"/>
      <c r="H227" s="121"/>
    </row>
    <row r="228" ht="15.75" customHeight="1">
      <c r="A228" s="121"/>
      <c r="H228" s="121"/>
    </row>
    <row r="229" ht="15.75" customHeight="1">
      <c r="A229" s="121"/>
      <c r="H229" s="121"/>
    </row>
    <row r="230" ht="15.75" customHeight="1">
      <c r="A230" s="121"/>
      <c r="H230" s="121"/>
    </row>
    <row r="231" ht="15.75" customHeight="1">
      <c r="A231" s="121"/>
      <c r="H231" s="121"/>
    </row>
    <row r="232" ht="15.75" customHeight="1">
      <c r="A232" s="121"/>
      <c r="H232" s="121"/>
    </row>
    <row r="233" ht="15.75" customHeight="1">
      <c r="A233" s="121"/>
      <c r="H233" s="121"/>
    </row>
    <row r="234" ht="15.75" customHeight="1">
      <c r="A234" s="121"/>
      <c r="H234" s="121"/>
    </row>
    <row r="235" ht="15.75" customHeight="1">
      <c r="A235" s="121"/>
      <c r="H235" s="121"/>
    </row>
    <row r="236" ht="15.75" customHeight="1">
      <c r="A236" s="121"/>
      <c r="H236" s="121"/>
    </row>
    <row r="237" ht="15.75" customHeight="1">
      <c r="A237" s="121"/>
      <c r="H237" s="121"/>
    </row>
    <row r="238" ht="15.75" customHeight="1">
      <c r="A238" s="121"/>
      <c r="H238" s="121"/>
    </row>
    <row r="239" ht="15.75" customHeight="1">
      <c r="A239" s="121"/>
      <c r="H239" s="121"/>
    </row>
    <row r="240" ht="15.75" customHeight="1">
      <c r="A240" s="121"/>
      <c r="H240" s="121"/>
    </row>
    <row r="241" ht="15.75" customHeight="1">
      <c r="A241" s="121"/>
      <c r="H241" s="121"/>
    </row>
    <row r="242" ht="15.75" customHeight="1">
      <c r="A242" s="121"/>
      <c r="H242" s="121"/>
    </row>
    <row r="243" ht="15.75" customHeight="1">
      <c r="A243" s="121"/>
      <c r="H243" s="121"/>
    </row>
    <row r="244" ht="15.75" customHeight="1">
      <c r="A244" s="121"/>
      <c r="H244" s="121"/>
    </row>
    <row r="245" ht="15.75" customHeight="1">
      <c r="A245" s="121"/>
      <c r="H245" s="121"/>
    </row>
    <row r="246" ht="15.75" customHeight="1">
      <c r="A246" s="121"/>
      <c r="H246" s="121"/>
    </row>
    <row r="247" ht="15.75" customHeight="1">
      <c r="A247" s="121"/>
      <c r="H247" s="121"/>
    </row>
    <row r="248" ht="15.75" customHeight="1">
      <c r="A248" s="121"/>
      <c r="H248" s="121"/>
    </row>
    <row r="249" ht="15.75" customHeight="1">
      <c r="A249" s="121"/>
      <c r="H249" s="121"/>
    </row>
    <row r="250" ht="15.75" customHeight="1">
      <c r="A250" s="121"/>
      <c r="H250" s="121"/>
    </row>
    <row r="251" ht="15.75" customHeight="1">
      <c r="A251" s="121"/>
      <c r="H251" s="121"/>
    </row>
    <row r="252" ht="15.75" customHeight="1">
      <c r="A252" s="121"/>
      <c r="H252" s="121"/>
    </row>
    <row r="253" ht="15.75" customHeight="1">
      <c r="A253" s="121"/>
      <c r="H253" s="121"/>
    </row>
    <row r="254" ht="15.75" customHeight="1">
      <c r="A254" s="121"/>
      <c r="H254" s="121"/>
    </row>
    <row r="255" ht="15.75" customHeight="1">
      <c r="A255" s="121"/>
      <c r="H255" s="121"/>
    </row>
    <row r="256" ht="15.75" customHeight="1">
      <c r="A256" s="121"/>
      <c r="H256" s="121"/>
    </row>
    <row r="257" ht="15.75" customHeight="1">
      <c r="A257" s="121"/>
      <c r="H257" s="121"/>
    </row>
    <row r="258" ht="15.75" customHeight="1">
      <c r="A258" s="121"/>
      <c r="H258" s="121"/>
    </row>
    <row r="259" ht="15.75" customHeight="1">
      <c r="A259" s="121"/>
      <c r="H259" s="121"/>
    </row>
    <row r="260" ht="15.75" customHeight="1">
      <c r="A260" s="121"/>
      <c r="H260" s="121"/>
    </row>
    <row r="261" ht="15.75" customHeight="1">
      <c r="A261" s="121"/>
      <c r="H261" s="121"/>
    </row>
    <row r="262" ht="15.75" customHeight="1">
      <c r="A262" s="121"/>
      <c r="H262" s="121"/>
    </row>
    <row r="263" ht="15.75" customHeight="1">
      <c r="A263" s="121"/>
      <c r="H263" s="121"/>
    </row>
    <row r="264" ht="15.75" customHeight="1">
      <c r="A264" s="121"/>
      <c r="H264" s="121"/>
    </row>
    <row r="265" ht="15.75" customHeight="1">
      <c r="A265" s="121"/>
      <c r="H265" s="121"/>
    </row>
    <row r="266" ht="15.75" customHeight="1">
      <c r="A266" s="121"/>
      <c r="H266" s="121"/>
    </row>
    <row r="267" ht="15.75" customHeight="1">
      <c r="A267" s="121"/>
      <c r="H267" s="121"/>
    </row>
    <row r="268" ht="15.75" customHeight="1">
      <c r="A268" s="121"/>
      <c r="H268" s="121"/>
    </row>
    <row r="269" ht="15.75" customHeight="1">
      <c r="A269" s="121"/>
      <c r="H269" s="121"/>
    </row>
    <row r="270" ht="15.75" customHeight="1">
      <c r="A270" s="121"/>
      <c r="H270" s="121"/>
    </row>
    <row r="271" ht="15.75" customHeight="1">
      <c r="A271" s="121"/>
      <c r="H271" s="121"/>
    </row>
    <row r="272" ht="15.75" customHeight="1">
      <c r="A272" s="121"/>
      <c r="H272" s="121"/>
    </row>
    <row r="273" ht="15.75" customHeight="1">
      <c r="A273" s="121"/>
      <c r="H273" s="121"/>
    </row>
    <row r="274" ht="15.75" customHeight="1">
      <c r="A274" s="121"/>
      <c r="H274" s="121"/>
    </row>
    <row r="275" ht="15.75" customHeight="1">
      <c r="A275" s="121"/>
      <c r="H275" s="121"/>
    </row>
    <row r="276" ht="15.75" customHeight="1">
      <c r="A276" s="121"/>
      <c r="H276" s="121"/>
    </row>
    <row r="277" ht="15.75" customHeight="1">
      <c r="A277" s="121"/>
      <c r="H277" s="121"/>
    </row>
    <row r="278" ht="15.75" customHeight="1">
      <c r="A278" s="121"/>
      <c r="H278" s="121"/>
    </row>
    <row r="279" ht="15.75" customHeight="1">
      <c r="A279" s="121"/>
      <c r="H279" s="121"/>
    </row>
    <row r="280" ht="15.75" customHeight="1">
      <c r="A280" s="121"/>
      <c r="H280" s="121"/>
    </row>
    <row r="281" ht="15.75" customHeight="1">
      <c r="A281" s="121"/>
      <c r="H281" s="121"/>
    </row>
    <row r="282" ht="15.75" customHeight="1">
      <c r="A282" s="121"/>
      <c r="H282" s="121"/>
    </row>
    <row r="283" ht="15.75" customHeight="1">
      <c r="A283" s="121"/>
      <c r="H283" s="121"/>
    </row>
    <row r="284" ht="15.75" customHeight="1">
      <c r="A284" s="121"/>
      <c r="H284" s="121"/>
    </row>
    <row r="285" ht="15.75" customHeight="1">
      <c r="A285" s="121"/>
      <c r="H285" s="121"/>
    </row>
    <row r="286" ht="15.75" customHeight="1">
      <c r="A286" s="121"/>
      <c r="H286" s="121"/>
    </row>
    <row r="287" ht="15.75" customHeight="1">
      <c r="A287" s="121"/>
      <c r="H287" s="121"/>
    </row>
    <row r="288" ht="15.75" customHeight="1">
      <c r="A288" s="121"/>
      <c r="H288" s="121"/>
    </row>
    <row r="289" ht="15.75" customHeight="1">
      <c r="A289" s="121"/>
      <c r="H289" s="121"/>
    </row>
    <row r="290" ht="15.75" customHeight="1">
      <c r="A290" s="121"/>
      <c r="H290" s="121"/>
    </row>
    <row r="291" ht="15.75" customHeight="1">
      <c r="A291" s="121"/>
      <c r="H291" s="121"/>
    </row>
    <row r="292" ht="15.75" customHeight="1">
      <c r="A292" s="121"/>
      <c r="H292" s="121"/>
    </row>
    <row r="293" ht="15.75" customHeight="1">
      <c r="A293" s="121"/>
      <c r="H293" s="121"/>
    </row>
    <row r="294" ht="15.75" customHeight="1">
      <c r="A294" s="121"/>
      <c r="H294" s="121"/>
    </row>
    <row r="295" ht="15.75" customHeight="1">
      <c r="A295" s="121"/>
      <c r="H295" s="121"/>
    </row>
    <row r="296" ht="15.75" customHeight="1">
      <c r="A296" s="121"/>
      <c r="H296" s="121"/>
    </row>
    <row r="297" ht="15.75" customHeight="1">
      <c r="A297" s="121"/>
      <c r="H297" s="121"/>
    </row>
    <row r="298" ht="15.75" customHeight="1">
      <c r="A298" s="121"/>
      <c r="H298" s="121"/>
    </row>
    <row r="299" ht="15.75" customHeight="1">
      <c r="A299" s="121"/>
      <c r="H299" s="121"/>
    </row>
    <row r="300" ht="15.75" customHeight="1">
      <c r="A300" s="121"/>
      <c r="H300" s="121"/>
    </row>
    <row r="301" ht="15.75" customHeight="1">
      <c r="A301" s="121"/>
      <c r="H301" s="121"/>
    </row>
    <row r="302" ht="15.75" customHeight="1">
      <c r="A302" s="121"/>
      <c r="H302" s="121"/>
    </row>
    <row r="303" ht="15.75" customHeight="1">
      <c r="A303" s="121"/>
      <c r="H303" s="121"/>
    </row>
    <row r="304" ht="15.75" customHeight="1">
      <c r="A304" s="121"/>
      <c r="H304" s="121"/>
    </row>
    <row r="305" ht="15.75" customHeight="1">
      <c r="A305" s="121"/>
      <c r="H305" s="121"/>
    </row>
    <row r="306" ht="15.75" customHeight="1">
      <c r="A306" s="121"/>
      <c r="H306" s="121"/>
    </row>
    <row r="307" ht="15.75" customHeight="1">
      <c r="A307" s="121"/>
      <c r="H307" s="121"/>
    </row>
    <row r="308" ht="15.75" customHeight="1">
      <c r="A308" s="121"/>
      <c r="H308" s="121"/>
    </row>
    <row r="309" ht="15.75" customHeight="1">
      <c r="A309" s="121"/>
      <c r="H309" s="121"/>
    </row>
    <row r="310" ht="15.75" customHeight="1">
      <c r="A310" s="121"/>
      <c r="H310" s="121"/>
    </row>
    <row r="311" ht="15.75" customHeight="1">
      <c r="A311" s="121"/>
      <c r="H311" s="121"/>
    </row>
    <row r="312" ht="15.75" customHeight="1">
      <c r="A312" s="121"/>
      <c r="H312" s="121"/>
    </row>
    <row r="313" ht="15.75" customHeight="1">
      <c r="A313" s="121"/>
      <c r="H313" s="121"/>
    </row>
    <row r="314" ht="15.75" customHeight="1">
      <c r="A314" s="121"/>
      <c r="H314" s="121"/>
    </row>
    <row r="315" ht="15.75" customHeight="1">
      <c r="A315" s="121"/>
      <c r="H315" s="121"/>
    </row>
    <row r="316" ht="15.75" customHeight="1">
      <c r="A316" s="121"/>
      <c r="H316" s="121"/>
    </row>
    <row r="317" ht="15.75" customHeight="1">
      <c r="A317" s="121"/>
      <c r="H317" s="121"/>
    </row>
    <row r="318" ht="15.75" customHeight="1">
      <c r="A318" s="121"/>
      <c r="H318" s="121"/>
    </row>
    <row r="319" ht="15.75" customHeight="1">
      <c r="A319" s="121"/>
      <c r="H319" s="121"/>
    </row>
    <row r="320" ht="15.75" customHeight="1">
      <c r="A320" s="121"/>
      <c r="H320" s="121"/>
    </row>
    <row r="321" ht="15.75" customHeight="1">
      <c r="A321" s="121"/>
      <c r="H321" s="121"/>
    </row>
    <row r="322" ht="15.75" customHeight="1">
      <c r="A322" s="121"/>
      <c r="H322" s="121"/>
    </row>
    <row r="323" ht="15.75" customHeight="1">
      <c r="A323" s="121"/>
      <c r="H323" s="121"/>
    </row>
    <row r="324" ht="15.75" customHeight="1">
      <c r="A324" s="121"/>
      <c r="H324" s="121"/>
    </row>
    <row r="325" ht="15.75" customHeight="1">
      <c r="A325" s="121"/>
      <c r="H325" s="121"/>
    </row>
    <row r="326" ht="15.75" customHeight="1">
      <c r="A326" s="121"/>
      <c r="H326" s="121"/>
    </row>
    <row r="327" ht="15.75" customHeight="1">
      <c r="A327" s="121"/>
      <c r="H327" s="121"/>
    </row>
    <row r="328" ht="15.75" customHeight="1">
      <c r="A328" s="121"/>
      <c r="H328" s="121"/>
    </row>
    <row r="329" ht="15.75" customHeight="1">
      <c r="A329" s="121"/>
      <c r="H329" s="121"/>
    </row>
    <row r="330" ht="15.75" customHeight="1">
      <c r="A330" s="121"/>
      <c r="H330" s="121"/>
    </row>
    <row r="331" ht="15.75" customHeight="1">
      <c r="A331" s="121"/>
      <c r="H331" s="121"/>
    </row>
    <row r="332" ht="15.75" customHeight="1">
      <c r="A332" s="121"/>
      <c r="H332" s="121"/>
    </row>
    <row r="333" ht="15.75" customHeight="1">
      <c r="A333" s="121"/>
      <c r="H333" s="121"/>
    </row>
    <row r="334" ht="15.75" customHeight="1">
      <c r="A334" s="121"/>
      <c r="H334" s="121"/>
    </row>
    <row r="335" ht="15.75" customHeight="1">
      <c r="A335" s="121"/>
      <c r="H335" s="121"/>
    </row>
    <row r="336" ht="15.75" customHeight="1">
      <c r="A336" s="121"/>
      <c r="H336" s="121"/>
    </row>
    <row r="337" ht="15.75" customHeight="1">
      <c r="A337" s="121"/>
      <c r="H337" s="121"/>
    </row>
    <row r="338" ht="15.75" customHeight="1">
      <c r="A338" s="121"/>
      <c r="H338" s="121"/>
    </row>
    <row r="339" ht="15.75" customHeight="1">
      <c r="A339" s="121"/>
      <c r="H339" s="121"/>
    </row>
    <row r="340" ht="15.75" customHeight="1">
      <c r="A340" s="121"/>
      <c r="H340" s="121"/>
    </row>
    <row r="341" ht="15.75" customHeight="1">
      <c r="A341" s="121"/>
      <c r="H341" s="121"/>
    </row>
    <row r="342" ht="15.75" customHeight="1">
      <c r="A342" s="121"/>
      <c r="H342" s="121"/>
    </row>
    <row r="343" ht="15.75" customHeight="1">
      <c r="A343" s="121"/>
      <c r="H343" s="121"/>
    </row>
    <row r="344" ht="15.75" customHeight="1">
      <c r="A344" s="121"/>
      <c r="H344" s="121"/>
    </row>
    <row r="345" ht="15.75" customHeight="1">
      <c r="A345" s="121"/>
      <c r="H345" s="121"/>
    </row>
    <row r="346" ht="15.75" customHeight="1">
      <c r="A346" s="121"/>
      <c r="H346" s="121"/>
    </row>
    <row r="347" ht="15.75" customHeight="1">
      <c r="A347" s="121"/>
      <c r="H347" s="121"/>
    </row>
    <row r="348" ht="15.75" customHeight="1">
      <c r="A348" s="121"/>
      <c r="H348" s="121"/>
    </row>
    <row r="349" ht="15.75" customHeight="1">
      <c r="A349" s="121"/>
      <c r="H349" s="121"/>
    </row>
    <row r="350" ht="15.75" customHeight="1">
      <c r="A350" s="121"/>
      <c r="H350" s="121"/>
    </row>
    <row r="351" ht="15.75" customHeight="1">
      <c r="A351" s="121"/>
      <c r="H351" s="121"/>
    </row>
    <row r="352" ht="15.75" customHeight="1">
      <c r="A352" s="121"/>
      <c r="H352" s="121"/>
    </row>
    <row r="353" ht="15.75" customHeight="1">
      <c r="A353" s="121"/>
      <c r="H353" s="121"/>
    </row>
    <row r="354" ht="15.75" customHeight="1">
      <c r="A354" s="121"/>
      <c r="H354" s="121"/>
    </row>
    <row r="355" ht="15.75" customHeight="1">
      <c r="A355" s="121"/>
      <c r="H355" s="121"/>
    </row>
    <row r="356" ht="15.75" customHeight="1">
      <c r="A356" s="121"/>
      <c r="H356" s="121"/>
    </row>
    <row r="357" ht="15.75" customHeight="1">
      <c r="A357" s="121"/>
      <c r="H357" s="121"/>
    </row>
    <row r="358" ht="15.75" customHeight="1">
      <c r="A358" s="121"/>
      <c r="H358" s="121"/>
    </row>
    <row r="359" ht="15.75" customHeight="1">
      <c r="A359" s="121"/>
      <c r="H359" s="121"/>
    </row>
    <row r="360" ht="15.75" customHeight="1">
      <c r="A360" s="121"/>
      <c r="H360" s="121"/>
    </row>
    <row r="361" ht="15.75" customHeight="1">
      <c r="A361" s="121"/>
      <c r="H361" s="121"/>
    </row>
    <row r="362" ht="15.75" customHeight="1">
      <c r="A362" s="121"/>
      <c r="H362" s="121"/>
    </row>
    <row r="363" ht="15.75" customHeight="1">
      <c r="A363" s="121"/>
      <c r="H363" s="121"/>
    </row>
    <row r="364" ht="15.75" customHeight="1">
      <c r="A364" s="121"/>
      <c r="H364" s="121"/>
    </row>
    <row r="365" ht="15.75" customHeight="1">
      <c r="A365" s="121"/>
      <c r="H365" s="121"/>
    </row>
    <row r="366" ht="15.75" customHeight="1">
      <c r="A366" s="121"/>
      <c r="H366" s="121"/>
    </row>
    <row r="367" ht="15.75" customHeight="1">
      <c r="A367" s="121"/>
      <c r="H367" s="121"/>
    </row>
    <row r="368" ht="15.75" customHeight="1">
      <c r="A368" s="121"/>
      <c r="H368" s="121"/>
    </row>
    <row r="369" ht="15.75" customHeight="1">
      <c r="A369" s="121"/>
      <c r="H369" s="121"/>
    </row>
    <row r="370" ht="15.75" customHeight="1">
      <c r="A370" s="121"/>
      <c r="H370" s="121"/>
    </row>
    <row r="371" ht="15.75" customHeight="1">
      <c r="A371" s="121"/>
      <c r="H371" s="121"/>
    </row>
    <row r="372" ht="15.75" customHeight="1">
      <c r="A372" s="121"/>
      <c r="H372" s="121"/>
    </row>
    <row r="373" ht="15.75" customHeight="1">
      <c r="A373" s="121"/>
      <c r="H373" s="121"/>
    </row>
    <row r="374" ht="15.75" customHeight="1">
      <c r="A374" s="121"/>
      <c r="H374" s="121"/>
    </row>
    <row r="375" ht="15.75" customHeight="1">
      <c r="A375" s="121"/>
      <c r="H375" s="121"/>
    </row>
    <row r="376" ht="15.75" customHeight="1">
      <c r="A376" s="121"/>
      <c r="H376" s="121"/>
    </row>
    <row r="377" ht="15.75" customHeight="1">
      <c r="A377" s="121"/>
      <c r="H377" s="121"/>
    </row>
    <row r="378" ht="15.75" customHeight="1">
      <c r="A378" s="121"/>
      <c r="H378" s="121"/>
    </row>
    <row r="379" ht="15.75" customHeight="1">
      <c r="A379" s="121"/>
      <c r="H379" s="121"/>
    </row>
    <row r="380" ht="15.75" customHeight="1">
      <c r="A380" s="121"/>
      <c r="H380" s="121"/>
    </row>
    <row r="381" ht="15.75" customHeight="1">
      <c r="A381" s="121"/>
      <c r="H381" s="121"/>
    </row>
    <row r="382" ht="15.75" customHeight="1">
      <c r="A382" s="121"/>
      <c r="H382" s="121"/>
    </row>
    <row r="383" ht="15.75" customHeight="1">
      <c r="A383" s="121"/>
      <c r="H383" s="121"/>
    </row>
    <row r="384" ht="15.75" customHeight="1">
      <c r="A384" s="121"/>
      <c r="H384" s="121"/>
    </row>
    <row r="385" ht="15.75" customHeight="1">
      <c r="A385" s="121"/>
      <c r="H385" s="121"/>
    </row>
    <row r="386" ht="15.75" customHeight="1">
      <c r="A386" s="121"/>
      <c r="H386" s="121"/>
    </row>
    <row r="387" ht="15.75" customHeight="1">
      <c r="A387" s="121"/>
      <c r="H387" s="121"/>
    </row>
    <row r="388" ht="15.75" customHeight="1">
      <c r="A388" s="121"/>
      <c r="H388" s="121"/>
    </row>
    <row r="389" ht="15.75" customHeight="1">
      <c r="A389" s="121"/>
      <c r="H389" s="121"/>
    </row>
    <row r="390" ht="15.75" customHeight="1">
      <c r="A390" s="121"/>
      <c r="H390" s="121"/>
    </row>
    <row r="391" ht="15.75" customHeight="1">
      <c r="A391" s="121"/>
      <c r="H391" s="121"/>
    </row>
    <row r="392" ht="15.75" customHeight="1">
      <c r="A392" s="121"/>
      <c r="H392" s="121"/>
    </row>
    <row r="393" ht="15.75" customHeight="1">
      <c r="A393" s="121"/>
      <c r="H393" s="121"/>
    </row>
    <row r="394" ht="15.75" customHeight="1">
      <c r="A394" s="121"/>
      <c r="H394" s="121"/>
    </row>
    <row r="395" ht="15.75" customHeight="1">
      <c r="A395" s="121"/>
      <c r="H395" s="121"/>
    </row>
    <row r="396" ht="15.75" customHeight="1">
      <c r="A396" s="121"/>
      <c r="H396" s="121"/>
    </row>
    <row r="397" ht="15.75" customHeight="1">
      <c r="A397" s="121"/>
      <c r="H397" s="121"/>
    </row>
    <row r="398" ht="15.75" customHeight="1">
      <c r="A398" s="121"/>
      <c r="H398" s="121"/>
    </row>
    <row r="399" ht="15.75" customHeight="1">
      <c r="A399" s="121"/>
      <c r="H399" s="121"/>
    </row>
    <row r="400" ht="15.75" customHeight="1">
      <c r="A400" s="121"/>
      <c r="H400" s="121"/>
    </row>
    <row r="401" ht="15.75" customHeight="1">
      <c r="A401" s="121"/>
      <c r="H401" s="121"/>
    </row>
    <row r="402" ht="15.75" customHeight="1">
      <c r="A402" s="121"/>
      <c r="H402" s="121"/>
    </row>
    <row r="403" ht="15.75" customHeight="1">
      <c r="A403" s="121"/>
      <c r="H403" s="121"/>
    </row>
    <row r="404" ht="15.75" customHeight="1">
      <c r="A404" s="121"/>
      <c r="H404" s="121"/>
    </row>
    <row r="405" ht="15.75" customHeight="1">
      <c r="A405" s="121"/>
      <c r="H405" s="121"/>
    </row>
    <row r="406" ht="15.75" customHeight="1">
      <c r="A406" s="121"/>
      <c r="H406" s="121"/>
    </row>
    <row r="407" ht="15.75" customHeight="1">
      <c r="A407" s="121"/>
      <c r="H407" s="121"/>
    </row>
    <row r="408" ht="15.75" customHeight="1">
      <c r="A408" s="121"/>
      <c r="H408" s="121"/>
    </row>
    <row r="409" ht="15.75" customHeight="1">
      <c r="A409" s="121"/>
      <c r="H409" s="121"/>
    </row>
    <row r="410" ht="15.75" customHeight="1">
      <c r="A410" s="121"/>
      <c r="H410" s="121"/>
    </row>
    <row r="411" ht="15.75" customHeight="1">
      <c r="A411" s="121"/>
      <c r="H411" s="121"/>
    </row>
    <row r="412" ht="15.75" customHeight="1">
      <c r="A412" s="121"/>
      <c r="H412" s="121"/>
    </row>
    <row r="413" ht="15.75" customHeight="1">
      <c r="A413" s="121"/>
      <c r="H413" s="121"/>
    </row>
    <row r="414" ht="15.75" customHeight="1">
      <c r="A414" s="121"/>
      <c r="H414" s="121"/>
    </row>
    <row r="415" ht="15.75" customHeight="1">
      <c r="A415" s="121"/>
      <c r="H415" s="121"/>
    </row>
    <row r="416" ht="15.75" customHeight="1">
      <c r="A416" s="121"/>
      <c r="H416" s="121"/>
    </row>
    <row r="417" ht="15.75" customHeight="1">
      <c r="A417" s="121"/>
      <c r="H417" s="121"/>
    </row>
    <row r="418" ht="15.75" customHeight="1">
      <c r="A418" s="121"/>
      <c r="H418" s="121"/>
    </row>
    <row r="419" ht="15.75" customHeight="1">
      <c r="A419" s="121"/>
      <c r="H419" s="121"/>
    </row>
    <row r="420" ht="15.75" customHeight="1">
      <c r="A420" s="121"/>
      <c r="H420" s="121"/>
    </row>
    <row r="421" ht="15.75" customHeight="1">
      <c r="A421" s="121"/>
      <c r="H421" s="121"/>
    </row>
    <row r="422" ht="15.75" customHeight="1">
      <c r="A422" s="121"/>
      <c r="H422" s="121"/>
    </row>
    <row r="423" ht="15.75" customHeight="1">
      <c r="A423" s="121"/>
      <c r="H423" s="121"/>
    </row>
    <row r="424" ht="15.75" customHeight="1">
      <c r="A424" s="121"/>
      <c r="H424" s="121"/>
    </row>
    <row r="425" ht="15.75" customHeight="1">
      <c r="A425" s="121"/>
      <c r="H425" s="121"/>
    </row>
    <row r="426" ht="15.75" customHeight="1">
      <c r="A426" s="121"/>
      <c r="H426" s="121"/>
    </row>
    <row r="427" ht="15.75" customHeight="1">
      <c r="A427" s="121"/>
      <c r="H427" s="121"/>
    </row>
    <row r="428" ht="15.75" customHeight="1">
      <c r="A428" s="121"/>
      <c r="H428" s="121"/>
    </row>
    <row r="429" ht="15.75" customHeight="1">
      <c r="A429" s="121"/>
      <c r="H429" s="121"/>
    </row>
    <row r="430" ht="15.75" customHeight="1">
      <c r="A430" s="121"/>
      <c r="H430" s="121"/>
    </row>
    <row r="431" ht="15.75" customHeight="1">
      <c r="A431" s="121"/>
      <c r="H431" s="121"/>
    </row>
    <row r="432" ht="15.75" customHeight="1">
      <c r="A432" s="121"/>
      <c r="H432" s="121"/>
    </row>
    <row r="433" ht="15.75" customHeight="1">
      <c r="A433" s="121"/>
      <c r="H433" s="121"/>
    </row>
    <row r="434" ht="15.75" customHeight="1">
      <c r="A434" s="121"/>
      <c r="H434" s="121"/>
    </row>
    <row r="435" ht="15.75" customHeight="1">
      <c r="A435" s="121"/>
      <c r="H435" s="121"/>
    </row>
    <row r="436" ht="15.75" customHeight="1">
      <c r="A436" s="121"/>
      <c r="H436" s="121"/>
    </row>
    <row r="437" ht="15.75" customHeight="1">
      <c r="A437" s="121"/>
      <c r="H437" s="121"/>
    </row>
    <row r="438" ht="15.75" customHeight="1">
      <c r="A438" s="121"/>
      <c r="H438" s="121"/>
    </row>
    <row r="439" ht="15.75" customHeight="1">
      <c r="A439" s="121"/>
      <c r="H439" s="121"/>
    </row>
    <row r="440" ht="15.75" customHeight="1">
      <c r="A440" s="121"/>
      <c r="H440" s="121"/>
    </row>
    <row r="441" ht="15.75" customHeight="1">
      <c r="A441" s="121"/>
      <c r="H441" s="121"/>
    </row>
    <row r="442" ht="15.75" customHeight="1">
      <c r="A442" s="121"/>
      <c r="H442" s="121"/>
    </row>
    <row r="443" ht="15.75" customHeight="1">
      <c r="A443" s="121"/>
      <c r="H443" s="121"/>
    </row>
    <row r="444" ht="15.75" customHeight="1">
      <c r="A444" s="121"/>
      <c r="H444" s="121"/>
    </row>
    <row r="445" ht="15.75" customHeight="1">
      <c r="A445" s="121"/>
      <c r="H445" s="121"/>
    </row>
    <row r="446" ht="15.75" customHeight="1">
      <c r="A446" s="121"/>
      <c r="H446" s="121"/>
    </row>
    <row r="447" ht="15.75" customHeight="1">
      <c r="A447" s="121"/>
      <c r="H447" s="121"/>
    </row>
    <row r="448" ht="15.75" customHeight="1">
      <c r="A448" s="121"/>
      <c r="H448" s="121"/>
    </row>
    <row r="449" ht="15.75" customHeight="1">
      <c r="A449" s="121"/>
      <c r="H449" s="121"/>
    </row>
    <row r="450" ht="15.75" customHeight="1">
      <c r="A450" s="121"/>
      <c r="H450" s="121"/>
    </row>
    <row r="451" ht="15.75" customHeight="1">
      <c r="A451" s="121"/>
      <c r="H451" s="121"/>
    </row>
    <row r="452" ht="15.75" customHeight="1">
      <c r="A452" s="121"/>
      <c r="H452" s="121"/>
    </row>
    <row r="453" ht="15.75" customHeight="1">
      <c r="A453" s="121"/>
      <c r="H453" s="121"/>
    </row>
    <row r="454" ht="15.75" customHeight="1">
      <c r="A454" s="121"/>
      <c r="H454" s="121"/>
    </row>
    <row r="455" ht="15.75" customHeight="1">
      <c r="A455" s="121"/>
      <c r="H455" s="121"/>
    </row>
    <row r="456" ht="15.75" customHeight="1">
      <c r="A456" s="121"/>
      <c r="H456" s="121"/>
    </row>
    <row r="457" ht="15.75" customHeight="1">
      <c r="A457" s="121"/>
      <c r="H457" s="121"/>
    </row>
    <row r="458" ht="15.75" customHeight="1">
      <c r="A458" s="121"/>
      <c r="H458" s="121"/>
    </row>
    <row r="459" ht="15.75" customHeight="1">
      <c r="A459" s="121"/>
      <c r="H459" s="121"/>
    </row>
    <row r="460" ht="15.75" customHeight="1">
      <c r="A460" s="121"/>
      <c r="H460" s="121"/>
    </row>
    <row r="461" ht="15.75" customHeight="1">
      <c r="A461" s="121"/>
      <c r="H461" s="121"/>
    </row>
    <row r="462" ht="15.75" customHeight="1">
      <c r="A462" s="121"/>
      <c r="H462" s="121"/>
    </row>
    <row r="463" ht="15.75" customHeight="1">
      <c r="A463" s="121"/>
      <c r="H463" s="121"/>
    </row>
    <row r="464" ht="15.75" customHeight="1">
      <c r="A464" s="121"/>
      <c r="H464" s="121"/>
    </row>
    <row r="465" ht="15.75" customHeight="1">
      <c r="A465" s="121"/>
      <c r="H465" s="121"/>
    </row>
    <row r="466" ht="15.75" customHeight="1">
      <c r="A466" s="121"/>
      <c r="H466" s="121"/>
    </row>
    <row r="467" ht="15.75" customHeight="1">
      <c r="A467" s="121"/>
      <c r="H467" s="121"/>
    </row>
    <row r="468" ht="15.75" customHeight="1">
      <c r="A468" s="121"/>
      <c r="H468" s="121"/>
    </row>
    <row r="469" ht="15.75" customHeight="1">
      <c r="A469" s="121"/>
      <c r="H469" s="121"/>
    </row>
    <row r="470" ht="15.75" customHeight="1">
      <c r="A470" s="121"/>
      <c r="H470" s="121"/>
    </row>
    <row r="471" ht="15.75" customHeight="1">
      <c r="A471" s="121"/>
      <c r="H471" s="121"/>
    </row>
    <row r="472" ht="15.75" customHeight="1">
      <c r="A472" s="121"/>
      <c r="H472" s="121"/>
    </row>
    <row r="473" ht="15.75" customHeight="1">
      <c r="A473" s="121"/>
      <c r="H473" s="121"/>
    </row>
    <row r="474" ht="15.75" customHeight="1">
      <c r="A474" s="121"/>
      <c r="H474" s="121"/>
    </row>
    <row r="475" ht="15.75" customHeight="1">
      <c r="A475" s="121"/>
      <c r="H475" s="121"/>
    </row>
    <row r="476" ht="15.75" customHeight="1">
      <c r="A476" s="121"/>
      <c r="H476" s="121"/>
    </row>
    <row r="477" ht="15.75" customHeight="1">
      <c r="A477" s="121"/>
      <c r="H477" s="121"/>
    </row>
    <row r="478" ht="15.75" customHeight="1">
      <c r="A478" s="121"/>
      <c r="H478" s="121"/>
    </row>
    <row r="479" ht="15.75" customHeight="1">
      <c r="A479" s="121"/>
      <c r="H479" s="121"/>
    </row>
    <row r="480" ht="15.75" customHeight="1">
      <c r="A480" s="121"/>
      <c r="H480" s="121"/>
    </row>
    <row r="481" ht="15.75" customHeight="1">
      <c r="A481" s="121"/>
      <c r="H481" s="121"/>
    </row>
    <row r="482" ht="15.75" customHeight="1">
      <c r="A482" s="121"/>
      <c r="H482" s="121"/>
    </row>
    <row r="483" ht="15.75" customHeight="1">
      <c r="A483" s="121"/>
      <c r="H483" s="121"/>
    </row>
    <row r="484" ht="15.75" customHeight="1">
      <c r="A484" s="121"/>
      <c r="H484" s="121"/>
    </row>
    <row r="485" ht="15.75" customHeight="1">
      <c r="A485" s="121"/>
      <c r="H485" s="121"/>
    </row>
    <row r="486" ht="15.75" customHeight="1">
      <c r="A486" s="121"/>
      <c r="H486" s="121"/>
    </row>
    <row r="487" ht="15.75" customHeight="1">
      <c r="A487" s="121"/>
      <c r="H487" s="121"/>
    </row>
    <row r="488" ht="15.75" customHeight="1">
      <c r="A488" s="121"/>
      <c r="H488" s="121"/>
    </row>
    <row r="489" ht="15.75" customHeight="1">
      <c r="A489" s="121"/>
      <c r="H489" s="121"/>
    </row>
    <row r="490" ht="15.75" customHeight="1">
      <c r="A490" s="121"/>
      <c r="H490" s="121"/>
    </row>
    <row r="491" ht="15.75" customHeight="1">
      <c r="A491" s="121"/>
      <c r="H491" s="121"/>
    </row>
    <row r="492" ht="15.75" customHeight="1">
      <c r="A492" s="121"/>
      <c r="H492" s="121"/>
    </row>
    <row r="493" ht="15.75" customHeight="1">
      <c r="A493" s="121"/>
      <c r="H493" s="121"/>
    </row>
    <row r="494" ht="15.75" customHeight="1">
      <c r="A494" s="121"/>
      <c r="H494" s="121"/>
    </row>
    <row r="495" ht="15.75" customHeight="1">
      <c r="A495" s="121"/>
      <c r="H495" s="121"/>
    </row>
    <row r="496" ht="15.75" customHeight="1">
      <c r="A496" s="121"/>
      <c r="H496" s="121"/>
    </row>
    <row r="497" ht="15.75" customHeight="1">
      <c r="A497" s="121"/>
      <c r="H497" s="121"/>
    </row>
    <row r="498" ht="15.75" customHeight="1">
      <c r="A498" s="121"/>
      <c r="H498" s="121"/>
    </row>
    <row r="499" ht="15.75" customHeight="1">
      <c r="A499" s="121"/>
      <c r="H499" s="121"/>
    </row>
    <row r="500" ht="15.75" customHeight="1">
      <c r="A500" s="121"/>
      <c r="H500" s="121"/>
    </row>
    <row r="501" ht="15.75" customHeight="1">
      <c r="A501" s="121"/>
      <c r="H501" s="121"/>
    </row>
    <row r="502" ht="15.75" customHeight="1">
      <c r="A502" s="121"/>
      <c r="H502" s="121"/>
    </row>
    <row r="503" ht="15.75" customHeight="1">
      <c r="A503" s="121"/>
      <c r="H503" s="121"/>
    </row>
    <row r="504" ht="15.75" customHeight="1">
      <c r="A504" s="121"/>
      <c r="H504" s="121"/>
    </row>
    <row r="505" ht="15.75" customHeight="1">
      <c r="A505" s="121"/>
      <c r="H505" s="121"/>
    </row>
    <row r="506" ht="15.75" customHeight="1">
      <c r="A506" s="121"/>
      <c r="H506" s="121"/>
    </row>
    <row r="507" ht="15.75" customHeight="1">
      <c r="A507" s="121"/>
      <c r="H507" s="121"/>
    </row>
    <row r="508" ht="15.75" customHeight="1">
      <c r="A508" s="121"/>
      <c r="H508" s="121"/>
    </row>
    <row r="509" ht="15.75" customHeight="1">
      <c r="A509" s="121"/>
      <c r="H509" s="121"/>
    </row>
    <row r="510" ht="15.75" customHeight="1">
      <c r="A510" s="121"/>
      <c r="H510" s="121"/>
    </row>
    <row r="511" ht="15.75" customHeight="1">
      <c r="A511" s="121"/>
      <c r="H511" s="121"/>
    </row>
    <row r="512" ht="15.75" customHeight="1">
      <c r="A512" s="121"/>
      <c r="H512" s="121"/>
    </row>
    <row r="513" ht="15.75" customHeight="1">
      <c r="A513" s="121"/>
      <c r="H513" s="121"/>
    </row>
    <row r="514" ht="15.75" customHeight="1">
      <c r="A514" s="121"/>
      <c r="H514" s="121"/>
    </row>
    <row r="515" ht="15.75" customHeight="1">
      <c r="A515" s="121"/>
      <c r="H515" s="121"/>
    </row>
    <row r="516" ht="15.75" customHeight="1">
      <c r="A516" s="121"/>
      <c r="H516" s="121"/>
    </row>
    <row r="517" ht="15.75" customHeight="1">
      <c r="A517" s="121"/>
      <c r="H517" s="121"/>
    </row>
    <row r="518" ht="15.75" customHeight="1">
      <c r="A518" s="121"/>
      <c r="H518" s="121"/>
    </row>
    <row r="519" ht="15.75" customHeight="1">
      <c r="A519" s="121"/>
      <c r="H519" s="121"/>
    </row>
    <row r="520" ht="15.75" customHeight="1">
      <c r="A520" s="121"/>
      <c r="H520" s="121"/>
    </row>
    <row r="521" ht="15.75" customHeight="1">
      <c r="A521" s="121"/>
      <c r="H521" s="121"/>
    </row>
    <row r="522" ht="15.75" customHeight="1">
      <c r="A522" s="121"/>
      <c r="H522" s="121"/>
    </row>
    <row r="523" ht="15.75" customHeight="1">
      <c r="A523" s="121"/>
      <c r="H523" s="121"/>
    </row>
    <row r="524" ht="15.75" customHeight="1">
      <c r="A524" s="121"/>
      <c r="H524" s="121"/>
    </row>
    <row r="525" ht="15.75" customHeight="1">
      <c r="A525" s="121"/>
      <c r="H525" s="121"/>
    </row>
    <row r="526" ht="15.75" customHeight="1">
      <c r="A526" s="121"/>
      <c r="H526" s="121"/>
    </row>
    <row r="527" ht="15.75" customHeight="1">
      <c r="A527" s="121"/>
      <c r="H527" s="121"/>
    </row>
    <row r="528" ht="15.75" customHeight="1">
      <c r="A528" s="121"/>
      <c r="H528" s="121"/>
    </row>
    <row r="529" ht="15.75" customHeight="1">
      <c r="A529" s="121"/>
      <c r="H529" s="121"/>
    </row>
    <row r="530" ht="15.75" customHeight="1">
      <c r="A530" s="121"/>
      <c r="H530" s="121"/>
    </row>
    <row r="531" ht="15.75" customHeight="1">
      <c r="A531" s="121"/>
      <c r="H531" s="121"/>
    </row>
    <row r="532" ht="15.75" customHeight="1">
      <c r="A532" s="121"/>
      <c r="H532" s="121"/>
    </row>
    <row r="533" ht="15.75" customHeight="1">
      <c r="A533" s="121"/>
      <c r="H533" s="121"/>
    </row>
    <row r="534" ht="15.75" customHeight="1">
      <c r="A534" s="121"/>
      <c r="H534" s="121"/>
    </row>
    <row r="535" ht="15.75" customHeight="1">
      <c r="A535" s="121"/>
      <c r="H535" s="121"/>
    </row>
    <row r="536" ht="15.75" customHeight="1">
      <c r="A536" s="121"/>
      <c r="H536" s="121"/>
    </row>
    <row r="537" ht="15.75" customHeight="1">
      <c r="A537" s="121"/>
      <c r="H537" s="121"/>
    </row>
    <row r="538" ht="15.75" customHeight="1">
      <c r="A538" s="121"/>
      <c r="H538" s="121"/>
    </row>
    <row r="539" ht="15.75" customHeight="1">
      <c r="A539" s="121"/>
      <c r="H539" s="121"/>
    </row>
    <row r="540" ht="15.75" customHeight="1">
      <c r="A540" s="121"/>
      <c r="H540" s="121"/>
    </row>
    <row r="541" ht="15.75" customHeight="1">
      <c r="A541" s="121"/>
      <c r="H541" s="121"/>
    </row>
    <row r="542" ht="15.75" customHeight="1">
      <c r="A542" s="121"/>
      <c r="H542" s="121"/>
    </row>
    <row r="543" ht="15.75" customHeight="1">
      <c r="A543" s="121"/>
      <c r="H543" s="121"/>
    </row>
    <row r="544" ht="15.75" customHeight="1">
      <c r="A544" s="121"/>
      <c r="H544" s="121"/>
    </row>
    <row r="545" ht="15.75" customHeight="1">
      <c r="A545" s="121"/>
      <c r="H545" s="121"/>
    </row>
    <row r="546" ht="15.75" customHeight="1">
      <c r="A546" s="121"/>
      <c r="H546" s="121"/>
    </row>
    <row r="547" ht="15.75" customHeight="1">
      <c r="A547" s="121"/>
      <c r="H547" s="121"/>
    </row>
    <row r="548" ht="15.75" customHeight="1">
      <c r="A548" s="121"/>
      <c r="H548" s="121"/>
    </row>
    <row r="549" ht="15.75" customHeight="1">
      <c r="A549" s="121"/>
      <c r="H549" s="121"/>
    </row>
    <row r="550" ht="15.75" customHeight="1">
      <c r="A550" s="121"/>
      <c r="H550" s="121"/>
    </row>
    <row r="551" ht="15.75" customHeight="1">
      <c r="A551" s="121"/>
      <c r="H551" s="121"/>
    </row>
    <row r="552" ht="15.75" customHeight="1">
      <c r="A552" s="121"/>
      <c r="H552" s="121"/>
    </row>
    <row r="553" ht="15.75" customHeight="1">
      <c r="A553" s="121"/>
      <c r="H553" s="121"/>
    </row>
    <row r="554" ht="15.75" customHeight="1">
      <c r="A554" s="121"/>
      <c r="H554" s="121"/>
    </row>
    <row r="555" ht="15.75" customHeight="1">
      <c r="A555" s="121"/>
      <c r="H555" s="121"/>
    </row>
    <row r="556" ht="15.75" customHeight="1">
      <c r="A556" s="121"/>
      <c r="H556" s="121"/>
    </row>
    <row r="557" ht="15.75" customHeight="1">
      <c r="A557" s="121"/>
      <c r="H557" s="121"/>
    </row>
    <row r="558" ht="15.75" customHeight="1">
      <c r="A558" s="121"/>
      <c r="H558" s="121"/>
    </row>
    <row r="559" ht="15.75" customHeight="1">
      <c r="A559" s="121"/>
      <c r="H559" s="121"/>
    </row>
    <row r="560" ht="15.75" customHeight="1">
      <c r="A560" s="121"/>
      <c r="H560" s="121"/>
    </row>
    <row r="561" ht="15.75" customHeight="1">
      <c r="A561" s="121"/>
      <c r="H561" s="121"/>
    </row>
    <row r="562" ht="15.75" customHeight="1">
      <c r="A562" s="121"/>
      <c r="H562" s="121"/>
    </row>
    <row r="563" ht="15.75" customHeight="1">
      <c r="A563" s="121"/>
      <c r="H563" s="121"/>
    </row>
    <row r="564" ht="15.75" customHeight="1">
      <c r="A564" s="121"/>
      <c r="H564" s="121"/>
    </row>
    <row r="565" ht="15.75" customHeight="1">
      <c r="A565" s="121"/>
      <c r="H565" s="121"/>
    </row>
    <row r="566" ht="15.75" customHeight="1">
      <c r="A566" s="121"/>
      <c r="H566" s="121"/>
    </row>
    <row r="567" ht="15.75" customHeight="1">
      <c r="A567" s="121"/>
      <c r="H567" s="121"/>
    </row>
    <row r="568" ht="15.75" customHeight="1">
      <c r="A568" s="121"/>
      <c r="H568" s="121"/>
    </row>
    <row r="569" ht="15.75" customHeight="1">
      <c r="A569" s="121"/>
      <c r="H569" s="121"/>
    </row>
    <row r="570" ht="15.75" customHeight="1">
      <c r="A570" s="121"/>
      <c r="H570" s="121"/>
    </row>
    <row r="571" ht="15.75" customHeight="1">
      <c r="A571" s="121"/>
      <c r="H571" s="121"/>
    </row>
    <row r="572" ht="15.75" customHeight="1">
      <c r="A572" s="121"/>
      <c r="H572" s="121"/>
    </row>
    <row r="573" ht="15.75" customHeight="1">
      <c r="A573" s="121"/>
      <c r="H573" s="121"/>
    </row>
    <row r="574" ht="15.75" customHeight="1">
      <c r="A574" s="121"/>
      <c r="H574" s="121"/>
    </row>
    <row r="575" ht="15.75" customHeight="1">
      <c r="A575" s="121"/>
      <c r="H575" s="121"/>
    </row>
    <row r="576" ht="15.75" customHeight="1">
      <c r="A576" s="121"/>
      <c r="H576" s="121"/>
    </row>
    <row r="577" ht="15.75" customHeight="1">
      <c r="A577" s="121"/>
      <c r="H577" s="121"/>
    </row>
    <row r="578" ht="15.75" customHeight="1">
      <c r="A578" s="121"/>
      <c r="H578" s="121"/>
    </row>
    <row r="579" ht="15.75" customHeight="1">
      <c r="A579" s="121"/>
      <c r="H579" s="121"/>
    </row>
    <row r="580" ht="15.75" customHeight="1">
      <c r="A580" s="121"/>
      <c r="H580" s="121"/>
    </row>
    <row r="581" ht="15.75" customHeight="1">
      <c r="A581" s="121"/>
      <c r="H581" s="121"/>
    </row>
    <row r="582" ht="15.75" customHeight="1">
      <c r="A582" s="121"/>
      <c r="H582" s="121"/>
    </row>
    <row r="583" ht="15.75" customHeight="1">
      <c r="A583" s="121"/>
      <c r="H583" s="121"/>
    </row>
    <row r="584" ht="15.75" customHeight="1">
      <c r="A584" s="121"/>
      <c r="H584" s="121"/>
    </row>
    <row r="585" ht="15.75" customHeight="1">
      <c r="A585" s="121"/>
      <c r="H585" s="121"/>
    </row>
    <row r="586" ht="15.75" customHeight="1">
      <c r="A586" s="121"/>
      <c r="H586" s="121"/>
    </row>
    <row r="587" ht="15.75" customHeight="1">
      <c r="A587" s="121"/>
      <c r="H587" s="121"/>
    </row>
    <row r="588" ht="15.75" customHeight="1">
      <c r="A588" s="121"/>
      <c r="H588" s="121"/>
    </row>
    <row r="589" ht="15.75" customHeight="1">
      <c r="A589" s="121"/>
      <c r="H589" s="121"/>
    </row>
    <row r="590" ht="15.75" customHeight="1">
      <c r="A590" s="121"/>
      <c r="H590" s="121"/>
    </row>
    <row r="591" ht="15.75" customHeight="1">
      <c r="A591" s="121"/>
      <c r="H591" s="121"/>
    </row>
    <row r="592" ht="15.75" customHeight="1">
      <c r="A592" s="121"/>
      <c r="H592" s="121"/>
    </row>
    <row r="593" ht="15.75" customHeight="1">
      <c r="A593" s="121"/>
      <c r="H593" s="121"/>
    </row>
    <row r="594" ht="15.75" customHeight="1">
      <c r="A594" s="121"/>
      <c r="H594" s="121"/>
    </row>
    <row r="595" ht="15.75" customHeight="1">
      <c r="A595" s="121"/>
      <c r="H595" s="121"/>
    </row>
    <row r="596" ht="15.75" customHeight="1">
      <c r="A596" s="121"/>
      <c r="H596" s="121"/>
    </row>
    <row r="597" ht="15.75" customHeight="1">
      <c r="A597" s="121"/>
      <c r="H597" s="121"/>
    </row>
    <row r="598" ht="15.75" customHeight="1">
      <c r="A598" s="121"/>
      <c r="H598" s="121"/>
    </row>
    <row r="599" ht="15.75" customHeight="1">
      <c r="A599" s="121"/>
      <c r="H599" s="121"/>
    </row>
    <row r="600" ht="15.75" customHeight="1">
      <c r="A600" s="121"/>
      <c r="H600" s="121"/>
    </row>
    <row r="601" ht="15.75" customHeight="1">
      <c r="A601" s="121"/>
      <c r="H601" s="121"/>
    </row>
    <row r="602" ht="15.75" customHeight="1">
      <c r="A602" s="121"/>
      <c r="H602" s="121"/>
    </row>
    <row r="603" ht="15.75" customHeight="1">
      <c r="A603" s="121"/>
      <c r="H603" s="121"/>
    </row>
    <row r="604" ht="15.75" customHeight="1">
      <c r="A604" s="121"/>
      <c r="H604" s="121"/>
    </row>
    <row r="605" ht="15.75" customHeight="1">
      <c r="A605" s="121"/>
      <c r="H605" s="121"/>
    </row>
    <row r="606" ht="15.75" customHeight="1">
      <c r="A606" s="121"/>
      <c r="H606" s="121"/>
    </row>
    <row r="607" ht="15.75" customHeight="1">
      <c r="A607" s="121"/>
      <c r="H607" s="121"/>
    </row>
    <row r="608" ht="15.75" customHeight="1">
      <c r="A608" s="121"/>
      <c r="H608" s="121"/>
    </row>
    <row r="609" ht="15.75" customHeight="1">
      <c r="A609" s="121"/>
      <c r="H609" s="121"/>
    </row>
    <row r="610" ht="15.75" customHeight="1">
      <c r="A610" s="121"/>
      <c r="H610" s="121"/>
    </row>
    <row r="611" ht="15.75" customHeight="1">
      <c r="A611" s="121"/>
      <c r="H611" s="121"/>
    </row>
    <row r="612" ht="15.75" customHeight="1">
      <c r="A612" s="121"/>
      <c r="H612" s="121"/>
    </row>
    <row r="613" ht="15.75" customHeight="1">
      <c r="A613" s="121"/>
      <c r="H613" s="121"/>
    </row>
    <row r="614" ht="15.75" customHeight="1">
      <c r="A614" s="121"/>
      <c r="H614" s="121"/>
    </row>
    <row r="615" ht="15.75" customHeight="1">
      <c r="A615" s="121"/>
      <c r="H615" s="121"/>
    </row>
    <row r="616" ht="15.75" customHeight="1">
      <c r="A616" s="121"/>
      <c r="H616" s="121"/>
    </row>
    <row r="617" ht="15.75" customHeight="1">
      <c r="A617" s="121"/>
      <c r="H617" s="121"/>
    </row>
    <row r="618" ht="15.75" customHeight="1">
      <c r="A618" s="121"/>
      <c r="H618" s="121"/>
    </row>
    <row r="619" ht="15.75" customHeight="1">
      <c r="A619" s="121"/>
      <c r="H619" s="121"/>
    </row>
    <row r="620" ht="15.75" customHeight="1">
      <c r="A620" s="121"/>
      <c r="H620" s="121"/>
    </row>
    <row r="621" ht="15.75" customHeight="1">
      <c r="A621" s="121"/>
      <c r="H621" s="121"/>
    </row>
    <row r="622" ht="15.75" customHeight="1">
      <c r="A622" s="121"/>
      <c r="H622" s="121"/>
    </row>
    <row r="623" ht="15.75" customHeight="1">
      <c r="A623" s="121"/>
      <c r="H623" s="121"/>
    </row>
    <row r="624" ht="15.75" customHeight="1">
      <c r="A624" s="121"/>
      <c r="H624" s="121"/>
    </row>
    <row r="625" ht="15.75" customHeight="1">
      <c r="A625" s="121"/>
      <c r="H625" s="121"/>
    </row>
    <row r="626" ht="15.75" customHeight="1">
      <c r="A626" s="121"/>
      <c r="H626" s="121"/>
    </row>
    <row r="627" ht="15.75" customHeight="1">
      <c r="A627" s="121"/>
      <c r="H627" s="121"/>
    </row>
    <row r="628" ht="15.75" customHeight="1">
      <c r="A628" s="121"/>
      <c r="H628" s="121"/>
    </row>
    <row r="629" ht="15.75" customHeight="1">
      <c r="A629" s="121"/>
      <c r="H629" s="121"/>
    </row>
    <row r="630" ht="15.75" customHeight="1">
      <c r="A630" s="121"/>
      <c r="H630" s="121"/>
    </row>
    <row r="631" ht="15.75" customHeight="1">
      <c r="A631" s="121"/>
      <c r="H631" s="121"/>
    </row>
    <row r="632" ht="15.75" customHeight="1">
      <c r="A632" s="121"/>
      <c r="H632" s="121"/>
    </row>
    <row r="633" ht="15.75" customHeight="1">
      <c r="A633" s="121"/>
      <c r="H633" s="121"/>
    </row>
    <row r="634" ht="15.75" customHeight="1">
      <c r="A634" s="121"/>
      <c r="H634" s="121"/>
    </row>
    <row r="635" ht="15.75" customHeight="1">
      <c r="A635" s="121"/>
      <c r="H635" s="121"/>
    </row>
    <row r="636" ht="15.75" customHeight="1">
      <c r="A636" s="121"/>
      <c r="H636" s="121"/>
    </row>
    <row r="637" ht="15.75" customHeight="1">
      <c r="A637" s="121"/>
      <c r="H637" s="121"/>
    </row>
    <row r="638" ht="15.75" customHeight="1">
      <c r="A638" s="121"/>
      <c r="H638" s="121"/>
    </row>
    <row r="639" ht="15.75" customHeight="1">
      <c r="A639" s="121"/>
      <c r="H639" s="121"/>
    </row>
    <row r="640" ht="15.75" customHeight="1">
      <c r="A640" s="121"/>
      <c r="H640" s="121"/>
    </row>
    <row r="641" ht="15.75" customHeight="1">
      <c r="A641" s="121"/>
      <c r="H641" s="121"/>
    </row>
    <row r="642" ht="15.75" customHeight="1">
      <c r="A642" s="121"/>
      <c r="H642" s="121"/>
    </row>
    <row r="643" ht="15.75" customHeight="1">
      <c r="A643" s="121"/>
      <c r="H643" s="121"/>
    </row>
    <row r="644" ht="15.75" customHeight="1">
      <c r="A644" s="121"/>
      <c r="H644" s="121"/>
    </row>
    <row r="645" ht="15.75" customHeight="1">
      <c r="A645" s="121"/>
      <c r="H645" s="121"/>
    </row>
    <row r="646" ht="15.75" customHeight="1">
      <c r="A646" s="121"/>
      <c r="H646" s="121"/>
    </row>
    <row r="647" ht="15.75" customHeight="1">
      <c r="A647" s="121"/>
      <c r="H647" s="121"/>
    </row>
    <row r="648" ht="15.75" customHeight="1">
      <c r="A648" s="121"/>
      <c r="H648" s="121"/>
    </row>
    <row r="649" ht="15.75" customHeight="1">
      <c r="A649" s="121"/>
      <c r="H649" s="121"/>
    </row>
    <row r="650" ht="15.75" customHeight="1">
      <c r="A650" s="121"/>
      <c r="H650" s="121"/>
    </row>
    <row r="651" ht="15.75" customHeight="1">
      <c r="A651" s="121"/>
      <c r="H651" s="121"/>
    </row>
    <row r="652" ht="15.75" customHeight="1">
      <c r="A652" s="121"/>
      <c r="H652" s="121"/>
    </row>
    <row r="653" ht="15.75" customHeight="1">
      <c r="A653" s="121"/>
      <c r="H653" s="121"/>
    </row>
    <row r="654" ht="15.75" customHeight="1">
      <c r="A654" s="121"/>
      <c r="H654" s="121"/>
    </row>
    <row r="655" ht="15.75" customHeight="1">
      <c r="A655" s="121"/>
      <c r="H655" s="121"/>
    </row>
    <row r="656" ht="15.75" customHeight="1">
      <c r="A656" s="121"/>
      <c r="H656" s="121"/>
    </row>
    <row r="657" ht="15.75" customHeight="1">
      <c r="A657" s="121"/>
      <c r="H657" s="121"/>
    </row>
    <row r="658" ht="15.75" customHeight="1">
      <c r="A658" s="121"/>
      <c r="H658" s="121"/>
    </row>
    <row r="659" ht="15.75" customHeight="1">
      <c r="A659" s="121"/>
      <c r="H659" s="121"/>
    </row>
    <row r="660" ht="15.75" customHeight="1">
      <c r="A660" s="121"/>
      <c r="H660" s="121"/>
    </row>
    <row r="661" ht="15.75" customHeight="1">
      <c r="A661" s="121"/>
      <c r="H661" s="121"/>
    </row>
    <row r="662" ht="15.75" customHeight="1">
      <c r="A662" s="121"/>
      <c r="H662" s="121"/>
    </row>
    <row r="663" ht="15.75" customHeight="1">
      <c r="A663" s="121"/>
      <c r="H663" s="121"/>
    </row>
    <row r="664" ht="15.75" customHeight="1">
      <c r="A664" s="121"/>
      <c r="H664" s="121"/>
    </row>
    <row r="665" ht="15.75" customHeight="1">
      <c r="A665" s="121"/>
      <c r="H665" s="121"/>
    </row>
    <row r="666" ht="15.75" customHeight="1">
      <c r="A666" s="121"/>
      <c r="H666" s="121"/>
    </row>
    <row r="667" ht="15.75" customHeight="1">
      <c r="A667" s="121"/>
      <c r="H667" s="121"/>
    </row>
    <row r="668" ht="15.75" customHeight="1">
      <c r="A668" s="121"/>
      <c r="H668" s="121"/>
    </row>
    <row r="669" ht="15.75" customHeight="1">
      <c r="A669" s="121"/>
      <c r="H669" s="121"/>
    </row>
    <row r="670" ht="15.75" customHeight="1">
      <c r="A670" s="121"/>
      <c r="H670" s="121"/>
    </row>
    <row r="671" ht="15.75" customHeight="1">
      <c r="A671" s="121"/>
      <c r="H671" s="121"/>
    </row>
    <row r="672" ht="15.75" customHeight="1">
      <c r="A672" s="121"/>
      <c r="H672" s="121"/>
    </row>
    <row r="673" ht="15.75" customHeight="1">
      <c r="A673" s="121"/>
      <c r="H673" s="121"/>
    </row>
    <row r="674" ht="15.75" customHeight="1">
      <c r="A674" s="121"/>
      <c r="H674" s="121"/>
    </row>
    <row r="675" ht="15.75" customHeight="1">
      <c r="A675" s="121"/>
      <c r="H675" s="121"/>
    </row>
    <row r="676" ht="15.75" customHeight="1">
      <c r="A676" s="121"/>
      <c r="H676" s="121"/>
    </row>
    <row r="677" ht="15.75" customHeight="1">
      <c r="A677" s="121"/>
      <c r="H677" s="121"/>
    </row>
    <row r="678" ht="15.75" customHeight="1">
      <c r="A678" s="121"/>
      <c r="H678" s="121"/>
    </row>
    <row r="679" ht="15.75" customHeight="1">
      <c r="A679" s="121"/>
      <c r="H679" s="121"/>
    </row>
    <row r="680" ht="15.75" customHeight="1">
      <c r="A680" s="121"/>
      <c r="H680" s="121"/>
    </row>
    <row r="681" ht="15.75" customHeight="1">
      <c r="A681" s="121"/>
      <c r="H681" s="121"/>
    </row>
    <row r="682" ht="15.75" customHeight="1">
      <c r="A682" s="121"/>
      <c r="H682" s="121"/>
    </row>
    <row r="683" ht="15.75" customHeight="1">
      <c r="A683" s="121"/>
      <c r="H683" s="121"/>
    </row>
    <row r="684" ht="15.75" customHeight="1">
      <c r="A684" s="121"/>
      <c r="H684" s="121"/>
    </row>
    <row r="685" ht="15.75" customHeight="1">
      <c r="A685" s="121"/>
      <c r="H685" s="121"/>
    </row>
    <row r="686" ht="15.75" customHeight="1">
      <c r="A686" s="121"/>
      <c r="H686" s="121"/>
    </row>
    <row r="687" ht="15.75" customHeight="1">
      <c r="A687" s="121"/>
      <c r="H687" s="121"/>
    </row>
    <row r="688" ht="15.75" customHeight="1">
      <c r="A688" s="121"/>
      <c r="H688" s="121"/>
    </row>
    <row r="689" ht="15.75" customHeight="1">
      <c r="A689" s="121"/>
      <c r="H689" s="121"/>
    </row>
    <row r="690" ht="15.75" customHeight="1">
      <c r="A690" s="121"/>
      <c r="H690" s="121"/>
    </row>
    <row r="691" ht="15.75" customHeight="1">
      <c r="A691" s="121"/>
      <c r="H691" s="121"/>
    </row>
    <row r="692" ht="15.75" customHeight="1">
      <c r="A692" s="121"/>
      <c r="H692" s="121"/>
    </row>
    <row r="693" ht="15.75" customHeight="1">
      <c r="A693" s="121"/>
      <c r="H693" s="121"/>
    </row>
    <row r="694" ht="15.75" customHeight="1">
      <c r="A694" s="121"/>
      <c r="H694" s="121"/>
    </row>
    <row r="695" ht="15.75" customHeight="1">
      <c r="A695" s="121"/>
      <c r="H695" s="121"/>
    </row>
    <row r="696" ht="15.75" customHeight="1">
      <c r="A696" s="121"/>
      <c r="H696" s="121"/>
    </row>
    <row r="697" ht="15.75" customHeight="1">
      <c r="A697" s="121"/>
      <c r="H697" s="121"/>
    </row>
    <row r="698" ht="15.75" customHeight="1">
      <c r="A698" s="121"/>
      <c r="H698" s="121"/>
    </row>
    <row r="699" ht="15.75" customHeight="1">
      <c r="A699" s="121"/>
      <c r="H699" s="121"/>
    </row>
    <row r="700" ht="15.75" customHeight="1">
      <c r="A700" s="121"/>
      <c r="H700" s="121"/>
    </row>
    <row r="701" ht="15.75" customHeight="1">
      <c r="A701" s="121"/>
      <c r="H701" s="121"/>
    </row>
    <row r="702" ht="15.75" customHeight="1">
      <c r="A702" s="121"/>
      <c r="H702" s="121"/>
    </row>
    <row r="703" ht="15.75" customHeight="1">
      <c r="A703" s="121"/>
      <c r="H703" s="121"/>
    </row>
    <row r="704" ht="15.75" customHeight="1">
      <c r="A704" s="121"/>
      <c r="H704" s="121"/>
    </row>
    <row r="705" ht="15.75" customHeight="1">
      <c r="A705" s="121"/>
      <c r="H705" s="121"/>
    </row>
    <row r="706" ht="15.75" customHeight="1">
      <c r="A706" s="121"/>
      <c r="H706" s="121"/>
    </row>
    <row r="707" ht="15.75" customHeight="1">
      <c r="A707" s="121"/>
      <c r="H707" s="121"/>
    </row>
    <row r="708" ht="15.75" customHeight="1">
      <c r="A708" s="121"/>
      <c r="H708" s="121"/>
    </row>
    <row r="709" ht="15.75" customHeight="1">
      <c r="A709" s="121"/>
      <c r="H709" s="121"/>
    </row>
    <row r="710" ht="15.75" customHeight="1">
      <c r="A710" s="121"/>
      <c r="H710" s="121"/>
    </row>
    <row r="711" ht="15.75" customHeight="1">
      <c r="A711" s="121"/>
      <c r="H711" s="121"/>
    </row>
    <row r="712" ht="15.75" customHeight="1">
      <c r="A712" s="121"/>
      <c r="H712" s="121"/>
    </row>
    <row r="713" ht="15.75" customHeight="1">
      <c r="A713" s="121"/>
      <c r="H713" s="121"/>
    </row>
    <row r="714" ht="15.75" customHeight="1">
      <c r="A714" s="121"/>
      <c r="H714" s="121"/>
    </row>
    <row r="715" ht="15.75" customHeight="1">
      <c r="A715" s="121"/>
      <c r="H715" s="121"/>
    </row>
    <row r="716" ht="15.75" customHeight="1">
      <c r="A716" s="121"/>
      <c r="H716" s="121"/>
    </row>
    <row r="717" ht="15.75" customHeight="1">
      <c r="A717" s="121"/>
      <c r="H717" s="121"/>
    </row>
    <row r="718" ht="15.75" customHeight="1">
      <c r="A718" s="121"/>
      <c r="H718" s="121"/>
    </row>
    <row r="719" ht="15.75" customHeight="1">
      <c r="A719" s="121"/>
      <c r="H719" s="121"/>
    </row>
    <row r="720" ht="15.75" customHeight="1">
      <c r="A720" s="121"/>
      <c r="H720" s="121"/>
    </row>
    <row r="721" ht="15.75" customHeight="1">
      <c r="A721" s="121"/>
      <c r="H721" s="121"/>
    </row>
    <row r="722" ht="15.75" customHeight="1">
      <c r="A722" s="121"/>
      <c r="H722" s="121"/>
    </row>
    <row r="723" ht="15.75" customHeight="1">
      <c r="A723" s="121"/>
      <c r="H723" s="121"/>
    </row>
    <row r="724" ht="15.75" customHeight="1">
      <c r="A724" s="121"/>
      <c r="H724" s="121"/>
    </row>
    <row r="725" ht="15.75" customHeight="1">
      <c r="A725" s="121"/>
      <c r="H725" s="121"/>
    </row>
    <row r="726" ht="15.75" customHeight="1">
      <c r="A726" s="121"/>
      <c r="H726" s="121"/>
    </row>
    <row r="727" ht="15.75" customHeight="1">
      <c r="A727" s="121"/>
      <c r="H727" s="121"/>
    </row>
    <row r="728" ht="15.75" customHeight="1">
      <c r="A728" s="121"/>
      <c r="H728" s="121"/>
    </row>
    <row r="729" ht="15.75" customHeight="1">
      <c r="A729" s="121"/>
      <c r="H729" s="121"/>
    </row>
    <row r="730" ht="15.75" customHeight="1">
      <c r="A730" s="121"/>
      <c r="H730" s="121"/>
    </row>
    <row r="731" ht="15.75" customHeight="1">
      <c r="A731" s="121"/>
      <c r="H731" s="121"/>
    </row>
    <row r="732" ht="15.75" customHeight="1">
      <c r="A732" s="121"/>
      <c r="H732" s="121"/>
    </row>
    <row r="733" ht="15.75" customHeight="1">
      <c r="A733" s="121"/>
      <c r="H733" s="121"/>
    </row>
    <row r="734" ht="15.75" customHeight="1">
      <c r="A734" s="121"/>
      <c r="H734" s="121"/>
    </row>
    <row r="735" ht="15.75" customHeight="1">
      <c r="A735" s="121"/>
      <c r="H735" s="121"/>
    </row>
    <row r="736" ht="15.75" customHeight="1">
      <c r="A736" s="121"/>
      <c r="H736" s="121"/>
    </row>
    <row r="737" ht="15.75" customHeight="1">
      <c r="A737" s="121"/>
      <c r="H737" s="121"/>
    </row>
    <row r="738" ht="15.75" customHeight="1">
      <c r="A738" s="121"/>
      <c r="H738" s="121"/>
    </row>
    <row r="739" ht="15.75" customHeight="1">
      <c r="A739" s="121"/>
      <c r="H739" s="121"/>
    </row>
    <row r="740" ht="15.75" customHeight="1">
      <c r="A740" s="121"/>
      <c r="H740" s="121"/>
    </row>
    <row r="741" ht="15.75" customHeight="1">
      <c r="A741" s="121"/>
      <c r="H741" s="121"/>
    </row>
    <row r="742" ht="15.75" customHeight="1">
      <c r="A742" s="121"/>
      <c r="H742" s="121"/>
    </row>
    <row r="743" ht="15.75" customHeight="1">
      <c r="A743" s="121"/>
      <c r="H743" s="121"/>
    </row>
    <row r="744" ht="15.75" customHeight="1">
      <c r="A744" s="121"/>
      <c r="H744" s="121"/>
    </row>
    <row r="745" ht="15.75" customHeight="1">
      <c r="A745" s="121"/>
      <c r="H745" s="121"/>
    </row>
    <row r="746" ht="15.75" customHeight="1">
      <c r="A746" s="121"/>
      <c r="H746" s="121"/>
    </row>
    <row r="747" ht="15.75" customHeight="1">
      <c r="A747" s="121"/>
      <c r="H747" s="121"/>
    </row>
    <row r="748" ht="15.75" customHeight="1">
      <c r="A748" s="121"/>
      <c r="H748" s="121"/>
    </row>
    <row r="749" ht="15.75" customHeight="1">
      <c r="A749" s="121"/>
      <c r="H749" s="121"/>
    </row>
    <row r="750" ht="15.75" customHeight="1">
      <c r="A750" s="121"/>
      <c r="H750" s="121"/>
    </row>
    <row r="751" ht="15.75" customHeight="1">
      <c r="A751" s="121"/>
      <c r="H751" s="121"/>
    </row>
    <row r="752" ht="15.75" customHeight="1">
      <c r="A752" s="121"/>
      <c r="H752" s="121"/>
    </row>
    <row r="753" ht="15.75" customHeight="1">
      <c r="A753" s="121"/>
      <c r="H753" s="121"/>
    </row>
    <row r="754" ht="15.75" customHeight="1">
      <c r="A754" s="121"/>
      <c r="H754" s="121"/>
    </row>
    <row r="755" ht="15.75" customHeight="1">
      <c r="A755" s="121"/>
      <c r="H755" s="121"/>
    </row>
    <row r="756" ht="15.75" customHeight="1">
      <c r="A756" s="121"/>
      <c r="H756" s="121"/>
    </row>
    <row r="757" ht="15.75" customHeight="1">
      <c r="A757" s="121"/>
      <c r="H757" s="121"/>
    </row>
    <row r="758" ht="15.75" customHeight="1">
      <c r="A758" s="121"/>
      <c r="H758" s="121"/>
    </row>
    <row r="759" ht="15.75" customHeight="1">
      <c r="A759" s="121"/>
      <c r="H759" s="121"/>
    </row>
    <row r="760" ht="15.75" customHeight="1">
      <c r="A760" s="121"/>
      <c r="H760" s="121"/>
    </row>
    <row r="761" ht="15.75" customHeight="1">
      <c r="A761" s="121"/>
      <c r="H761" s="121"/>
    </row>
    <row r="762" ht="15.75" customHeight="1">
      <c r="A762" s="121"/>
      <c r="H762" s="121"/>
    </row>
    <row r="763" ht="15.75" customHeight="1">
      <c r="A763" s="121"/>
      <c r="H763" s="121"/>
    </row>
    <row r="764" ht="15.75" customHeight="1">
      <c r="A764" s="121"/>
      <c r="H764" s="121"/>
    </row>
    <row r="765" ht="15.75" customHeight="1">
      <c r="A765" s="121"/>
      <c r="H765" s="121"/>
    </row>
    <row r="766" ht="15.75" customHeight="1">
      <c r="A766" s="121"/>
      <c r="H766" s="121"/>
    </row>
    <row r="767" ht="15.75" customHeight="1">
      <c r="A767" s="121"/>
      <c r="H767" s="121"/>
    </row>
    <row r="768" ht="15.75" customHeight="1">
      <c r="A768" s="121"/>
      <c r="H768" s="121"/>
    </row>
    <row r="769" ht="15.75" customHeight="1">
      <c r="A769" s="121"/>
      <c r="H769" s="121"/>
    </row>
    <row r="770" ht="15.75" customHeight="1">
      <c r="A770" s="121"/>
      <c r="H770" s="121"/>
    </row>
    <row r="771" ht="15.75" customHeight="1">
      <c r="A771" s="121"/>
      <c r="H771" s="121"/>
    </row>
    <row r="772" ht="15.75" customHeight="1">
      <c r="A772" s="121"/>
      <c r="H772" s="121"/>
    </row>
    <row r="773" ht="15.75" customHeight="1">
      <c r="A773" s="121"/>
      <c r="H773" s="121"/>
    </row>
    <row r="774" ht="15.75" customHeight="1">
      <c r="A774" s="121"/>
      <c r="H774" s="121"/>
    </row>
    <row r="775" ht="15.75" customHeight="1">
      <c r="A775" s="121"/>
      <c r="H775" s="121"/>
    </row>
    <row r="776" ht="15.75" customHeight="1">
      <c r="A776" s="121"/>
      <c r="H776" s="121"/>
    </row>
    <row r="777" ht="15.75" customHeight="1">
      <c r="A777" s="121"/>
      <c r="H777" s="121"/>
    </row>
    <row r="778" ht="15.75" customHeight="1">
      <c r="A778" s="121"/>
      <c r="H778" s="121"/>
    </row>
    <row r="779" ht="15.75" customHeight="1">
      <c r="A779" s="121"/>
      <c r="H779" s="121"/>
    </row>
    <row r="780" ht="15.75" customHeight="1">
      <c r="A780" s="121"/>
      <c r="H780" s="121"/>
    </row>
    <row r="781" ht="15.75" customHeight="1">
      <c r="A781" s="121"/>
      <c r="H781" s="121"/>
    </row>
    <row r="782" ht="15.75" customHeight="1">
      <c r="A782" s="121"/>
      <c r="H782" s="121"/>
    </row>
    <row r="783" ht="15.75" customHeight="1">
      <c r="A783" s="121"/>
      <c r="H783" s="121"/>
    </row>
    <row r="784" ht="15.75" customHeight="1">
      <c r="A784" s="121"/>
      <c r="H784" s="121"/>
    </row>
    <row r="785" ht="15.75" customHeight="1">
      <c r="A785" s="121"/>
      <c r="H785" s="121"/>
    </row>
    <row r="786" ht="15.75" customHeight="1">
      <c r="A786" s="121"/>
      <c r="H786" s="121"/>
    </row>
    <row r="787" ht="15.75" customHeight="1">
      <c r="A787" s="121"/>
      <c r="H787" s="121"/>
    </row>
    <row r="788" ht="15.75" customHeight="1">
      <c r="A788" s="121"/>
      <c r="H788" s="121"/>
    </row>
    <row r="789" ht="15.75" customHeight="1">
      <c r="A789" s="121"/>
      <c r="H789" s="121"/>
    </row>
    <row r="790" ht="15.75" customHeight="1">
      <c r="A790" s="121"/>
      <c r="H790" s="121"/>
    </row>
    <row r="791" ht="15.75" customHeight="1">
      <c r="A791" s="121"/>
      <c r="H791" s="121"/>
    </row>
    <row r="792" ht="15.75" customHeight="1">
      <c r="A792" s="121"/>
      <c r="H792" s="121"/>
    </row>
    <row r="793" ht="15.75" customHeight="1">
      <c r="A793" s="121"/>
      <c r="H793" s="121"/>
    </row>
    <row r="794" ht="15.75" customHeight="1">
      <c r="A794" s="121"/>
      <c r="H794" s="121"/>
    </row>
    <row r="795" ht="15.75" customHeight="1">
      <c r="A795" s="121"/>
      <c r="H795" s="121"/>
    </row>
    <row r="796" ht="15.75" customHeight="1">
      <c r="A796" s="121"/>
      <c r="H796" s="121"/>
    </row>
    <row r="797" ht="15.75" customHeight="1">
      <c r="A797" s="121"/>
      <c r="H797" s="121"/>
    </row>
    <row r="798" ht="15.75" customHeight="1">
      <c r="A798" s="121"/>
      <c r="H798" s="121"/>
    </row>
    <row r="799" ht="15.75" customHeight="1">
      <c r="A799" s="121"/>
      <c r="H799" s="121"/>
    </row>
    <row r="800" ht="15.75" customHeight="1">
      <c r="A800" s="121"/>
      <c r="H800" s="121"/>
    </row>
    <row r="801" ht="15.75" customHeight="1">
      <c r="A801" s="121"/>
      <c r="H801" s="121"/>
    </row>
    <row r="802" ht="15.75" customHeight="1">
      <c r="A802" s="121"/>
      <c r="H802" s="121"/>
    </row>
    <row r="803" ht="15.75" customHeight="1">
      <c r="A803" s="121"/>
      <c r="H803" s="121"/>
    </row>
    <row r="804" ht="15.75" customHeight="1">
      <c r="A804" s="121"/>
      <c r="H804" s="121"/>
    </row>
    <row r="805" ht="15.75" customHeight="1">
      <c r="A805" s="121"/>
      <c r="H805" s="121"/>
    </row>
    <row r="806" ht="15.75" customHeight="1">
      <c r="A806" s="121"/>
      <c r="H806" s="121"/>
    </row>
    <row r="807" ht="15.75" customHeight="1">
      <c r="A807" s="121"/>
      <c r="H807" s="121"/>
    </row>
    <row r="808" ht="15.75" customHeight="1">
      <c r="A808" s="121"/>
      <c r="H808" s="121"/>
    </row>
    <row r="809" ht="15.75" customHeight="1">
      <c r="A809" s="121"/>
      <c r="H809" s="121"/>
    </row>
    <row r="810" ht="15.75" customHeight="1">
      <c r="A810" s="121"/>
      <c r="H810" s="121"/>
    </row>
    <row r="811" ht="15.75" customHeight="1">
      <c r="A811" s="121"/>
      <c r="H811" s="121"/>
    </row>
    <row r="812" ht="15.75" customHeight="1">
      <c r="A812" s="121"/>
      <c r="H812" s="121"/>
    </row>
    <row r="813" ht="15.75" customHeight="1">
      <c r="A813" s="121"/>
      <c r="H813" s="121"/>
    </row>
    <row r="814" ht="15.75" customHeight="1">
      <c r="A814" s="121"/>
      <c r="H814" s="121"/>
    </row>
    <row r="815" ht="15.75" customHeight="1">
      <c r="A815" s="121"/>
      <c r="H815" s="121"/>
    </row>
    <row r="816" ht="15.75" customHeight="1">
      <c r="A816" s="121"/>
      <c r="H816" s="121"/>
    </row>
    <row r="817" ht="15.75" customHeight="1">
      <c r="A817" s="121"/>
      <c r="H817" s="121"/>
    </row>
    <row r="818" ht="15.75" customHeight="1">
      <c r="A818" s="121"/>
      <c r="H818" s="121"/>
    </row>
    <row r="819" ht="15.75" customHeight="1">
      <c r="A819" s="121"/>
      <c r="H819" s="121"/>
    </row>
    <row r="820" ht="15.75" customHeight="1">
      <c r="A820" s="121"/>
      <c r="H820" s="121"/>
    </row>
    <row r="821" ht="15.75" customHeight="1">
      <c r="A821" s="121"/>
      <c r="H821" s="121"/>
    </row>
    <row r="822" ht="15.75" customHeight="1">
      <c r="A822" s="121"/>
      <c r="H822" s="121"/>
    </row>
    <row r="823" ht="15.75" customHeight="1">
      <c r="A823" s="121"/>
      <c r="H823" s="121"/>
    </row>
    <row r="824" ht="15.75" customHeight="1">
      <c r="A824" s="121"/>
      <c r="H824" s="121"/>
    </row>
    <row r="825" ht="15.75" customHeight="1">
      <c r="A825" s="121"/>
      <c r="H825" s="121"/>
    </row>
    <row r="826" ht="15.75" customHeight="1">
      <c r="A826" s="121"/>
      <c r="H826" s="121"/>
    </row>
    <row r="827" ht="15.75" customHeight="1">
      <c r="A827" s="121"/>
      <c r="H827" s="121"/>
    </row>
    <row r="828" ht="15.75" customHeight="1">
      <c r="A828" s="121"/>
      <c r="H828" s="121"/>
    </row>
    <row r="829" ht="15.75" customHeight="1">
      <c r="A829" s="121"/>
      <c r="H829" s="121"/>
    </row>
    <row r="830" ht="15.75" customHeight="1">
      <c r="A830" s="121"/>
      <c r="H830" s="121"/>
    </row>
    <row r="831" ht="15.75" customHeight="1">
      <c r="A831" s="121"/>
      <c r="H831" s="121"/>
    </row>
    <row r="832" ht="15.75" customHeight="1">
      <c r="A832" s="121"/>
      <c r="H832" s="121"/>
    </row>
    <row r="833" ht="15.75" customHeight="1">
      <c r="A833" s="121"/>
      <c r="H833" s="121"/>
    </row>
    <row r="834" ht="15.75" customHeight="1">
      <c r="A834" s="121"/>
      <c r="H834" s="121"/>
    </row>
    <row r="835" ht="15.75" customHeight="1">
      <c r="A835" s="121"/>
      <c r="H835" s="121"/>
    </row>
    <row r="836" ht="15.75" customHeight="1">
      <c r="A836" s="121"/>
      <c r="H836" s="121"/>
    </row>
    <row r="837" ht="15.75" customHeight="1">
      <c r="A837" s="121"/>
      <c r="H837" s="121"/>
    </row>
    <row r="838" ht="15.75" customHeight="1">
      <c r="A838" s="121"/>
      <c r="H838" s="121"/>
    </row>
    <row r="839" ht="15.75" customHeight="1">
      <c r="A839" s="121"/>
      <c r="H839" s="121"/>
    </row>
    <row r="840" ht="15.75" customHeight="1">
      <c r="A840" s="121"/>
      <c r="H840" s="121"/>
    </row>
    <row r="841" ht="15.75" customHeight="1">
      <c r="A841" s="121"/>
      <c r="H841" s="121"/>
    </row>
    <row r="842" ht="15.75" customHeight="1">
      <c r="A842" s="121"/>
      <c r="H842" s="121"/>
    </row>
    <row r="843" ht="15.75" customHeight="1">
      <c r="A843" s="121"/>
      <c r="H843" s="121"/>
    </row>
    <row r="844" ht="15.75" customHeight="1">
      <c r="A844" s="121"/>
      <c r="H844" s="121"/>
    </row>
    <row r="845" ht="15.75" customHeight="1">
      <c r="A845" s="121"/>
      <c r="H845" s="121"/>
    </row>
    <row r="846" ht="15.75" customHeight="1">
      <c r="A846" s="121"/>
      <c r="H846" s="121"/>
    </row>
    <row r="847" ht="15.75" customHeight="1">
      <c r="A847" s="121"/>
      <c r="H847" s="121"/>
    </row>
    <row r="848" ht="15.75" customHeight="1">
      <c r="A848" s="121"/>
      <c r="H848" s="121"/>
    </row>
    <row r="849" ht="15.75" customHeight="1">
      <c r="A849" s="121"/>
      <c r="H849" s="121"/>
    </row>
    <row r="850" ht="15.75" customHeight="1">
      <c r="A850" s="121"/>
      <c r="H850" s="121"/>
    </row>
    <row r="851" ht="15.75" customHeight="1">
      <c r="A851" s="121"/>
      <c r="H851" s="121"/>
    </row>
    <row r="852" ht="15.75" customHeight="1">
      <c r="A852" s="121"/>
      <c r="H852" s="121"/>
    </row>
    <row r="853" ht="15.75" customHeight="1">
      <c r="A853" s="121"/>
      <c r="H853" s="121"/>
    </row>
    <row r="854" ht="15.75" customHeight="1">
      <c r="A854" s="121"/>
      <c r="H854" s="121"/>
    </row>
    <row r="855" ht="15.75" customHeight="1">
      <c r="A855" s="121"/>
      <c r="H855" s="121"/>
    </row>
    <row r="856" ht="15.75" customHeight="1">
      <c r="A856" s="121"/>
      <c r="H856" s="121"/>
    </row>
    <row r="857" ht="15.75" customHeight="1">
      <c r="A857" s="121"/>
      <c r="H857" s="121"/>
    </row>
    <row r="858" ht="15.75" customHeight="1">
      <c r="A858" s="121"/>
      <c r="H858" s="121"/>
    </row>
    <row r="859" ht="15.75" customHeight="1">
      <c r="A859" s="121"/>
      <c r="H859" s="121"/>
    </row>
    <row r="860" ht="15.75" customHeight="1">
      <c r="A860" s="121"/>
      <c r="H860" s="121"/>
    </row>
    <row r="861" ht="15.75" customHeight="1">
      <c r="A861" s="121"/>
      <c r="H861" s="121"/>
    </row>
    <row r="862" ht="15.75" customHeight="1">
      <c r="A862" s="121"/>
      <c r="H862" s="121"/>
    </row>
    <row r="863" ht="15.75" customHeight="1">
      <c r="A863" s="121"/>
      <c r="H863" s="121"/>
    </row>
    <row r="864" ht="15.75" customHeight="1">
      <c r="A864" s="121"/>
      <c r="H864" s="121"/>
    </row>
    <row r="865" ht="15.75" customHeight="1">
      <c r="A865" s="121"/>
      <c r="H865" s="121"/>
    </row>
    <row r="866" ht="15.75" customHeight="1">
      <c r="A866" s="121"/>
      <c r="H866" s="121"/>
    </row>
    <row r="867" ht="15.75" customHeight="1">
      <c r="A867" s="121"/>
      <c r="H867" s="121"/>
    </row>
    <row r="868" ht="15.75" customHeight="1">
      <c r="A868" s="121"/>
      <c r="H868" s="121"/>
    </row>
    <row r="869" ht="15.75" customHeight="1">
      <c r="A869" s="121"/>
      <c r="H869" s="121"/>
    </row>
    <row r="870" ht="15.75" customHeight="1">
      <c r="A870" s="121"/>
      <c r="H870" s="121"/>
    </row>
    <row r="871" ht="15.75" customHeight="1">
      <c r="A871" s="121"/>
      <c r="H871" s="121"/>
    </row>
    <row r="872" ht="15.75" customHeight="1">
      <c r="A872" s="121"/>
      <c r="H872" s="121"/>
    </row>
    <row r="873" ht="15.75" customHeight="1">
      <c r="A873" s="121"/>
      <c r="H873" s="121"/>
    </row>
    <row r="874" ht="15.75" customHeight="1">
      <c r="A874" s="121"/>
      <c r="H874" s="121"/>
    </row>
    <row r="875" ht="15.75" customHeight="1">
      <c r="A875" s="121"/>
      <c r="H875" s="121"/>
    </row>
    <row r="876" ht="15.75" customHeight="1">
      <c r="A876" s="121"/>
      <c r="H876" s="121"/>
    </row>
    <row r="877" ht="15.75" customHeight="1">
      <c r="A877" s="121"/>
      <c r="H877" s="121"/>
    </row>
    <row r="878" ht="15.75" customHeight="1">
      <c r="A878" s="121"/>
      <c r="H878" s="121"/>
    </row>
    <row r="879" ht="15.75" customHeight="1">
      <c r="A879" s="121"/>
      <c r="H879" s="121"/>
    </row>
    <row r="880" ht="15.75" customHeight="1">
      <c r="A880" s="121"/>
      <c r="H880" s="121"/>
    </row>
    <row r="881" ht="15.75" customHeight="1">
      <c r="A881" s="121"/>
      <c r="H881" s="121"/>
    </row>
    <row r="882" ht="15.75" customHeight="1">
      <c r="A882" s="121"/>
      <c r="H882" s="121"/>
    </row>
    <row r="883" ht="15.75" customHeight="1">
      <c r="A883" s="121"/>
      <c r="H883" s="121"/>
    </row>
    <row r="884" ht="15.75" customHeight="1">
      <c r="A884" s="121"/>
      <c r="H884" s="121"/>
    </row>
    <row r="885" ht="15.75" customHeight="1">
      <c r="A885" s="121"/>
      <c r="H885" s="121"/>
    </row>
    <row r="886" ht="15.75" customHeight="1">
      <c r="A886" s="121"/>
      <c r="H886" s="121"/>
    </row>
    <row r="887" ht="15.75" customHeight="1">
      <c r="A887" s="121"/>
      <c r="H887" s="121"/>
    </row>
    <row r="888" ht="15.75" customHeight="1">
      <c r="A888" s="121"/>
      <c r="H888" s="121"/>
    </row>
    <row r="889" ht="15.75" customHeight="1">
      <c r="A889" s="121"/>
      <c r="H889" s="121"/>
    </row>
    <row r="890" ht="15.75" customHeight="1">
      <c r="A890" s="121"/>
      <c r="H890" s="121"/>
    </row>
    <row r="891" ht="15.75" customHeight="1">
      <c r="A891" s="121"/>
      <c r="H891" s="121"/>
    </row>
    <row r="892" ht="15.75" customHeight="1">
      <c r="A892" s="121"/>
      <c r="H892" s="121"/>
    </row>
    <row r="893" ht="15.75" customHeight="1">
      <c r="A893" s="121"/>
      <c r="H893" s="121"/>
    </row>
    <row r="894" ht="15.75" customHeight="1">
      <c r="A894" s="121"/>
      <c r="H894" s="121"/>
    </row>
    <row r="895" ht="15.75" customHeight="1">
      <c r="A895" s="121"/>
      <c r="H895" s="121"/>
    </row>
    <row r="896" ht="15.75" customHeight="1">
      <c r="A896" s="121"/>
      <c r="H896" s="121"/>
    </row>
    <row r="897" ht="15.75" customHeight="1">
      <c r="A897" s="121"/>
      <c r="H897" s="121"/>
    </row>
    <row r="898" ht="15.75" customHeight="1">
      <c r="A898" s="121"/>
      <c r="H898" s="121"/>
    </row>
    <row r="899" ht="15.75" customHeight="1">
      <c r="A899" s="121"/>
      <c r="H899" s="121"/>
    </row>
    <row r="900" ht="15.75" customHeight="1">
      <c r="A900" s="121"/>
      <c r="H900" s="121"/>
    </row>
    <row r="901" ht="15.75" customHeight="1">
      <c r="A901" s="121"/>
      <c r="H901" s="121"/>
    </row>
    <row r="902" ht="15.75" customHeight="1">
      <c r="A902" s="121"/>
      <c r="H902" s="121"/>
    </row>
    <row r="903" ht="15.75" customHeight="1">
      <c r="A903" s="121"/>
      <c r="H903" s="121"/>
    </row>
    <row r="904" ht="15.75" customHeight="1">
      <c r="A904" s="121"/>
      <c r="H904" s="121"/>
    </row>
    <row r="905" ht="15.75" customHeight="1">
      <c r="A905" s="121"/>
      <c r="H905" s="121"/>
    </row>
    <row r="906" ht="15.75" customHeight="1">
      <c r="A906" s="121"/>
      <c r="H906" s="121"/>
    </row>
    <row r="907" ht="15.75" customHeight="1">
      <c r="A907" s="121"/>
      <c r="H907" s="121"/>
    </row>
    <row r="908" ht="15.75" customHeight="1">
      <c r="A908" s="121"/>
      <c r="H908" s="121"/>
    </row>
    <row r="909" ht="15.75" customHeight="1">
      <c r="A909" s="121"/>
      <c r="H909" s="121"/>
    </row>
    <row r="910" ht="15.75" customHeight="1">
      <c r="A910" s="121"/>
      <c r="H910" s="121"/>
    </row>
    <row r="911" ht="15.75" customHeight="1">
      <c r="A911" s="121"/>
      <c r="H911" s="121"/>
    </row>
    <row r="912" ht="15.75" customHeight="1">
      <c r="A912" s="121"/>
      <c r="H912" s="121"/>
    </row>
    <row r="913" ht="15.75" customHeight="1">
      <c r="A913" s="121"/>
      <c r="H913" s="121"/>
    </row>
    <row r="914" ht="15.75" customHeight="1">
      <c r="A914" s="121"/>
      <c r="H914" s="121"/>
    </row>
    <row r="915" ht="15.75" customHeight="1">
      <c r="A915" s="121"/>
      <c r="H915" s="121"/>
    </row>
    <row r="916" ht="15.75" customHeight="1">
      <c r="A916" s="121"/>
      <c r="H916" s="121"/>
    </row>
    <row r="917" ht="15.75" customHeight="1">
      <c r="A917" s="121"/>
      <c r="H917" s="121"/>
    </row>
    <row r="918" ht="15.75" customHeight="1">
      <c r="A918" s="121"/>
      <c r="H918" s="121"/>
    </row>
    <row r="919" ht="15.75" customHeight="1">
      <c r="A919" s="121"/>
      <c r="H919" s="121"/>
    </row>
    <row r="920" ht="15.75" customHeight="1">
      <c r="A920" s="121"/>
      <c r="H920" s="121"/>
    </row>
    <row r="921" ht="15.75" customHeight="1">
      <c r="A921" s="121"/>
      <c r="H921" s="121"/>
    </row>
    <row r="922" ht="15.75" customHeight="1">
      <c r="A922" s="121"/>
      <c r="H922" s="121"/>
    </row>
    <row r="923" ht="15.75" customHeight="1">
      <c r="A923" s="121"/>
      <c r="H923" s="121"/>
    </row>
    <row r="924" ht="15.75" customHeight="1">
      <c r="A924" s="121"/>
      <c r="H924" s="121"/>
    </row>
    <row r="925" ht="15.75" customHeight="1">
      <c r="A925" s="121"/>
      <c r="H925" s="121"/>
    </row>
    <row r="926" ht="15.75" customHeight="1">
      <c r="A926" s="121"/>
      <c r="H926" s="121"/>
    </row>
    <row r="927" ht="15.75" customHeight="1">
      <c r="A927" s="121"/>
      <c r="H927" s="121"/>
    </row>
    <row r="928" ht="15.75" customHeight="1">
      <c r="A928" s="121"/>
      <c r="H928" s="121"/>
    </row>
    <row r="929" ht="15.75" customHeight="1">
      <c r="A929" s="121"/>
      <c r="H929" s="121"/>
    </row>
    <row r="930" ht="15.75" customHeight="1">
      <c r="A930" s="121"/>
      <c r="H930" s="121"/>
    </row>
    <row r="931" ht="15.75" customHeight="1">
      <c r="A931" s="121"/>
      <c r="H931" s="121"/>
    </row>
    <row r="932" ht="15.75" customHeight="1">
      <c r="A932" s="121"/>
      <c r="H932" s="121"/>
    </row>
    <row r="933" ht="15.75" customHeight="1">
      <c r="A933" s="121"/>
      <c r="H933" s="121"/>
    </row>
    <row r="934" ht="15.75" customHeight="1">
      <c r="A934" s="121"/>
      <c r="H934" s="121"/>
    </row>
    <row r="935" ht="15.75" customHeight="1">
      <c r="A935" s="121"/>
      <c r="H935" s="121"/>
    </row>
    <row r="936" ht="15.75" customHeight="1">
      <c r="A936" s="121"/>
      <c r="H936" s="121"/>
    </row>
    <row r="937" ht="15.75" customHeight="1">
      <c r="A937" s="121"/>
      <c r="H937" s="121"/>
    </row>
    <row r="938" ht="15.75" customHeight="1">
      <c r="A938" s="121"/>
      <c r="H938" s="121"/>
    </row>
    <row r="939" ht="15.75" customHeight="1">
      <c r="A939" s="121"/>
      <c r="H939" s="121"/>
    </row>
    <row r="940" ht="15.75" customHeight="1">
      <c r="A940" s="121"/>
      <c r="H940" s="121"/>
    </row>
    <row r="941" ht="15.75" customHeight="1">
      <c r="A941" s="121"/>
      <c r="H941" s="121"/>
    </row>
    <row r="942" ht="15.75" customHeight="1">
      <c r="A942" s="121"/>
      <c r="H942" s="121"/>
    </row>
    <row r="943" ht="15.75" customHeight="1">
      <c r="A943" s="121"/>
      <c r="H943" s="121"/>
    </row>
    <row r="944" ht="15.75" customHeight="1">
      <c r="A944" s="121"/>
      <c r="H944" s="121"/>
    </row>
    <row r="945" ht="15.75" customHeight="1">
      <c r="A945" s="121"/>
      <c r="H945" s="121"/>
    </row>
  </sheetData>
  <mergeCells count="150">
    <mergeCell ref="D17:I17"/>
    <mergeCell ref="D18:I18"/>
    <mergeCell ref="H10:H11"/>
    <mergeCell ref="I10:I11"/>
    <mergeCell ref="H14:H15"/>
    <mergeCell ref="I14:I15"/>
    <mergeCell ref="D16:J16"/>
    <mergeCell ref="K16:L16"/>
    <mergeCell ref="O16:O17"/>
    <mergeCell ref="B22:C22"/>
    <mergeCell ref="B23:C23"/>
    <mergeCell ref="B65:D65"/>
    <mergeCell ref="B67:F68"/>
    <mergeCell ref="A6:A7"/>
    <mergeCell ref="A8:A9"/>
    <mergeCell ref="A10:A11"/>
    <mergeCell ref="A12:A13"/>
    <mergeCell ref="A14:A15"/>
    <mergeCell ref="B16:C16"/>
    <mergeCell ref="B17:C17"/>
    <mergeCell ref="G2:G3"/>
    <mergeCell ref="G4:G5"/>
    <mergeCell ref="G14:G15"/>
    <mergeCell ref="H4:H5"/>
    <mergeCell ref="I4:I5"/>
    <mergeCell ref="K1:L1"/>
    <mergeCell ref="A2:A3"/>
    <mergeCell ref="I2:I3"/>
    <mergeCell ref="K2:L2"/>
    <mergeCell ref="K3:L3"/>
    <mergeCell ref="A4:A5"/>
    <mergeCell ref="I6:I7"/>
    <mergeCell ref="G12:G13"/>
    <mergeCell ref="H12:H13"/>
    <mergeCell ref="I12:I13"/>
    <mergeCell ref="T12:V12"/>
    <mergeCell ref="X13:AC13"/>
    <mergeCell ref="X14:Y14"/>
    <mergeCell ref="X15:Y15"/>
    <mergeCell ref="H2:H3"/>
    <mergeCell ref="G6:G7"/>
    <mergeCell ref="H6:H7"/>
    <mergeCell ref="G8:G9"/>
    <mergeCell ref="H8:H9"/>
    <mergeCell ref="I8:I9"/>
    <mergeCell ref="G10:G11"/>
    <mergeCell ref="D21:I21"/>
    <mergeCell ref="D22:I22"/>
    <mergeCell ref="D23:I23"/>
    <mergeCell ref="O23:Q23"/>
    <mergeCell ref="B18:C18"/>
    <mergeCell ref="B19:C19"/>
    <mergeCell ref="D19:I19"/>
    <mergeCell ref="B20:C20"/>
    <mergeCell ref="D20:I20"/>
    <mergeCell ref="B21:C21"/>
    <mergeCell ref="Z21:AC21"/>
    <mergeCell ref="P64:Q64"/>
    <mergeCell ref="P65:Q65"/>
    <mergeCell ref="J66:K66"/>
    <mergeCell ref="P66:Q66"/>
    <mergeCell ref="P41:Q41"/>
    <mergeCell ref="P42:Q42"/>
    <mergeCell ref="O45:Q45"/>
    <mergeCell ref="P48:R48"/>
    <mergeCell ref="P56:R56"/>
    <mergeCell ref="P60:R60"/>
    <mergeCell ref="P63:Q63"/>
    <mergeCell ref="X20:Y20"/>
    <mergeCell ref="X21:Y21"/>
    <mergeCell ref="T24:T29"/>
    <mergeCell ref="AF24:AF29"/>
    <mergeCell ref="AF30:AF35"/>
    <mergeCell ref="AF36:AF41"/>
    <mergeCell ref="AF42:AF47"/>
    <mergeCell ref="AF48:AF53"/>
    <mergeCell ref="AF54:AF59"/>
    <mergeCell ref="AC60:AE60"/>
    <mergeCell ref="T61:X61"/>
    <mergeCell ref="T62:X71"/>
    <mergeCell ref="T73:AA73"/>
    <mergeCell ref="V74:AA74"/>
    <mergeCell ref="V82:AA82"/>
    <mergeCell ref="V83:AA83"/>
    <mergeCell ref="V84:AA84"/>
    <mergeCell ref="V75:AA75"/>
    <mergeCell ref="V76:AA76"/>
    <mergeCell ref="V77:AA77"/>
    <mergeCell ref="V78:AA78"/>
    <mergeCell ref="V79:AA79"/>
    <mergeCell ref="V80:AA80"/>
    <mergeCell ref="V81:AA81"/>
    <mergeCell ref="P83:Q83"/>
    <mergeCell ref="P84:Q84"/>
    <mergeCell ref="P85:Q85"/>
    <mergeCell ref="J86:K86"/>
    <mergeCell ref="P86:Q86"/>
    <mergeCell ref="B87:F88"/>
    <mergeCell ref="P87:Q87"/>
    <mergeCell ref="P88:Q88"/>
    <mergeCell ref="P76:Q76"/>
    <mergeCell ref="P77:Q77"/>
    <mergeCell ref="P78:Q78"/>
    <mergeCell ref="P79:Q79"/>
    <mergeCell ref="P80:Q80"/>
    <mergeCell ref="P81:Q81"/>
    <mergeCell ref="P82:Q82"/>
    <mergeCell ref="P89:Q89"/>
    <mergeCell ref="P16:Q16"/>
    <mergeCell ref="R16:R17"/>
    <mergeCell ref="X16:Y16"/>
    <mergeCell ref="X17:Y17"/>
    <mergeCell ref="X18:Y18"/>
    <mergeCell ref="X19:Y19"/>
    <mergeCell ref="U21:V21"/>
    <mergeCell ref="P31:Q31"/>
    <mergeCell ref="P32:Q32"/>
    <mergeCell ref="T30:T35"/>
    <mergeCell ref="T36:T41"/>
    <mergeCell ref="T42:T47"/>
    <mergeCell ref="T48:T53"/>
    <mergeCell ref="T54:T59"/>
    <mergeCell ref="O25:R25"/>
    <mergeCell ref="P26:Q26"/>
    <mergeCell ref="P27:Q27"/>
    <mergeCell ref="P28:Q28"/>
    <mergeCell ref="P29:Q29"/>
    <mergeCell ref="P30:Q30"/>
    <mergeCell ref="P35:Q35"/>
    <mergeCell ref="P33:Q33"/>
    <mergeCell ref="P34:Q34"/>
    <mergeCell ref="P36:Q36"/>
    <mergeCell ref="P37:Q37"/>
    <mergeCell ref="P38:Q38"/>
    <mergeCell ref="P39:Q39"/>
    <mergeCell ref="P40:Q40"/>
    <mergeCell ref="T74:U74"/>
    <mergeCell ref="T75:U75"/>
    <mergeCell ref="T76:U76"/>
    <mergeCell ref="T77:U77"/>
    <mergeCell ref="T78:U78"/>
    <mergeCell ref="T79:U83"/>
    <mergeCell ref="T84:U84"/>
    <mergeCell ref="P67:Q67"/>
    <mergeCell ref="P69:Q69"/>
    <mergeCell ref="P70:Q70"/>
    <mergeCell ref="P71:Q71"/>
    <mergeCell ref="P72:Q72"/>
    <mergeCell ref="P73:Q73"/>
    <mergeCell ref="P75:Q75"/>
  </mergeCells>
  <conditionalFormatting sqref="A25:A55 C25:C55 C74:C80">
    <cfRule type="containsText" dxfId="0" priority="1" operator="containsText" text="DOMINGO">
      <formula>NOT(ISERROR(SEARCH(("DOMINGO"),(A25))))</formula>
    </cfRule>
  </conditionalFormatting>
  <conditionalFormatting sqref="J25:J57 J74:J81 J125:J126">
    <cfRule type="cellIs" dxfId="1" priority="2" operator="greaterThan">
      <formula>0</formula>
    </cfRule>
  </conditionalFormatting>
  <conditionalFormatting sqref="J25:J57 J74:J81 J125:J126">
    <cfRule type="cellIs" dxfId="2" priority="3" operator="lessThan">
      <formula>0</formula>
    </cfRule>
  </conditionalFormatting>
  <conditionalFormatting sqref="J25:J55 J74:J80">
    <cfRule type="notContainsBlanks" dxfId="1" priority="4">
      <formula>LEN(TRIM(J25))&gt;0</formula>
    </cfRule>
  </conditionalFormatting>
  <conditionalFormatting sqref="R23 R42:R47 R49:R55 R57:R59 R61:R67">
    <cfRule type="cellIs" dxfId="3" priority="5" operator="greaterThan">
      <formula>0</formula>
    </cfRule>
  </conditionalFormatting>
  <conditionalFormatting sqref="R23 R42:R47 R49:R55 R57:R59 R61:R66">
    <cfRule type="cellIs" dxfId="2" priority="6" operator="lessThan">
      <formula>0</formula>
    </cfRule>
  </conditionalFormatting>
  <conditionalFormatting sqref="E25:F55">
    <cfRule type="cellIs" dxfId="2" priority="7" operator="equal">
      <formula>"0:00:00"</formula>
    </cfRule>
  </conditionalFormatting>
  <conditionalFormatting sqref="K25">
    <cfRule type="notContainsBlanks" dxfId="1" priority="8">
      <formula>LEN(TRIM(K25))&gt;0</formula>
    </cfRule>
  </conditionalFormatting>
  <conditionalFormatting sqref="Z20:AC20">
    <cfRule type="cellIs" dxfId="3" priority="9" operator="greaterThan">
      <formula>1550</formula>
    </cfRule>
  </conditionalFormatting>
  <conditionalFormatting sqref="J58 J127">
    <cfRule type="cellIs" dxfId="3" priority="10" operator="greaterThan">
      <formula>0</formula>
    </cfRule>
  </conditionalFormatting>
  <conditionalFormatting sqref="J58 J127">
    <cfRule type="cellIs" dxfId="2" priority="11" operator="lessThan">
      <formula>0</formula>
    </cfRule>
  </conditionalFormatting>
  <conditionalFormatting sqref="G58 G127">
    <cfRule type="cellIs" dxfId="3" priority="12" operator="greaterThan">
      <formula>0</formula>
    </cfRule>
  </conditionalFormatting>
  <conditionalFormatting sqref="G58 G127">
    <cfRule type="cellIs" dxfId="2" priority="13" operator="lessThan">
      <formula>0</formula>
    </cfRule>
  </conditionalFormatting>
  <conditionalFormatting sqref="A25">
    <cfRule type="cellIs" dxfId="1" priority="14" operator="equal">
      <formula>1</formula>
    </cfRule>
  </conditionalFormatting>
  <conditionalFormatting sqref="A25">
    <cfRule type="cellIs" dxfId="1" priority="15" operator="equal">
      <formula>1</formula>
    </cfRule>
  </conditionalFormatting>
  <conditionalFormatting sqref="Q62">
    <cfRule type="cellIs" dxfId="3" priority="16" operator="greaterThan">
      <formula>0</formula>
    </cfRule>
  </conditionalFormatting>
  <conditionalFormatting sqref="Q62">
    <cfRule type="cellIs" dxfId="2" priority="17" operator="lessThan">
      <formula>0</formula>
    </cfRule>
  </conditionalFormatting>
  <conditionalFormatting sqref="Q61">
    <cfRule type="cellIs" dxfId="3" priority="18" operator="greaterThan">
      <formula>0</formula>
    </cfRule>
  </conditionalFormatting>
  <conditionalFormatting sqref="Q61">
    <cfRule type="cellIs" dxfId="2" priority="19" operator="greaterThan">
      <formula>0</formula>
    </cfRule>
  </conditionalFormatting>
  <conditionalFormatting sqref="Q61">
    <cfRule type="cellIs" dxfId="4" priority="20" operator="equal">
      <formula>0</formula>
    </cfRule>
  </conditionalFormatting>
  <conditionalFormatting sqref="R61">
    <cfRule type="cellIs" dxfId="4" priority="21" operator="equal">
      <formula>0</formula>
    </cfRule>
  </conditionalFormatting>
  <conditionalFormatting sqref="Q62">
    <cfRule type="cellIs" dxfId="4" priority="22" operator="equal">
      <formula>0</formula>
    </cfRule>
  </conditionalFormatting>
  <conditionalFormatting sqref="R62">
    <cfRule type="cellIs" dxfId="4" priority="23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cols>
    <col customWidth="1" min="2" max="2" width="57.88"/>
    <col customWidth="1" min="4" max="4" width="17.25"/>
    <col customWidth="1" min="5" max="5" width="65.25"/>
  </cols>
  <sheetData>
    <row r="5">
      <c r="B5" s="2"/>
      <c r="I5" s="5" t="s">
        <v>4</v>
      </c>
    </row>
    <row r="11">
      <c r="B11" s="2"/>
    </row>
    <row r="12">
      <c r="B12" s="2"/>
    </row>
    <row r="13">
      <c r="B13" s="7"/>
    </row>
    <row r="18">
      <c r="B18" s="11" t="s">
        <v>16</v>
      </c>
      <c r="C18" s="15">
        <f>DASHWORD!V7</f>
        <v>5100</v>
      </c>
      <c r="E18" s="16" t="s">
        <v>32</v>
      </c>
      <c r="F18" s="18">
        <f>DASHWORD!Q4</f>
        <v>4</v>
      </c>
    </row>
    <row r="19">
      <c r="A19" s="5" t="s">
        <v>37</v>
      </c>
      <c r="B19" s="11" t="s">
        <v>38</v>
      </c>
      <c r="C19" s="15">
        <f>PARAMETROS!G10</f>
        <v>4800</v>
      </c>
      <c r="E19" s="16" t="s">
        <v>43</v>
      </c>
      <c r="F19" s="18">
        <f>DASHWORD!Q10</f>
        <v>0</v>
      </c>
    </row>
    <row r="20">
      <c r="B20" s="11" t="s">
        <v>44</v>
      </c>
      <c r="C20" s="15">
        <f>DASHWORD!Z21</f>
        <v>7200</v>
      </c>
    </row>
    <row r="21">
      <c r="B21" s="11" t="s">
        <v>45</v>
      </c>
      <c r="C21" s="26">
        <f>DASHWORD!Q61</f>
        <v>14.98333333</v>
      </c>
      <c r="E21" s="28" t="s">
        <v>46</v>
      </c>
      <c r="F21" s="32" t="str">
        <f>IF(C20&gt;C19,"SI CONTUNUA","NO CONTINUA")</f>
        <v>SI CONTUNUA</v>
      </c>
    </row>
    <row r="22">
      <c r="B22" s="34" t="s">
        <v>49</v>
      </c>
      <c r="C22" s="35"/>
    </row>
    <row r="23">
      <c r="B23" s="36" t="s">
        <v>51</v>
      </c>
      <c r="C23" s="38">
        <f>DASHWORD!R50</f>
        <v>46.4</v>
      </c>
    </row>
    <row r="24">
      <c r="B24" s="36" t="s">
        <v>52</v>
      </c>
      <c r="C24" s="38">
        <f>DASHWORD!R51</f>
        <v>90</v>
      </c>
    </row>
    <row r="25">
      <c r="B25" s="36" t="s">
        <v>53</v>
      </c>
      <c r="C25" s="38">
        <f>DASHWORD!R62</f>
        <v>50</v>
      </c>
    </row>
    <row r="26">
      <c r="B26" s="39" t="s">
        <v>54</v>
      </c>
      <c r="C26" s="40"/>
    </row>
    <row r="27">
      <c r="B27" s="41" t="s">
        <v>55</v>
      </c>
      <c r="C27" s="42">
        <f>DASHWORD!R64</f>
        <v>20</v>
      </c>
    </row>
    <row r="28">
      <c r="B28" s="41" t="s">
        <v>56</v>
      </c>
      <c r="C28" s="42">
        <f>DASHWORD!R57</f>
        <v>0</v>
      </c>
      <c r="E28" s="45" t="s">
        <v>57</v>
      </c>
      <c r="F28" s="46"/>
    </row>
    <row r="29">
      <c r="B29" s="41" t="s">
        <v>60</v>
      </c>
      <c r="C29" s="42">
        <f>DASHWORD!R23</f>
        <v>-20</v>
      </c>
      <c r="E29" s="49"/>
      <c r="F29" s="46"/>
    </row>
    <row r="30">
      <c r="B30" s="11" t="s">
        <v>62</v>
      </c>
      <c r="C30" s="52">
        <f>DASHWORD!L17</f>
        <v>600</v>
      </c>
      <c r="E30" s="49"/>
      <c r="F30" s="46"/>
    </row>
    <row r="31">
      <c r="B31" s="53" t="s">
        <v>63</v>
      </c>
      <c r="C31" s="15">
        <f>C23+C24+C25</f>
        <v>186.4</v>
      </c>
      <c r="E31" s="49"/>
      <c r="F31" s="46"/>
    </row>
    <row r="32">
      <c r="B32" s="53" t="s">
        <v>69</v>
      </c>
      <c r="C32" s="15">
        <f>C28+C29</f>
        <v>-20</v>
      </c>
      <c r="E32" s="49"/>
      <c r="F32" s="46"/>
    </row>
    <row r="33">
      <c r="B33" s="58" t="s">
        <v>70</v>
      </c>
      <c r="C33" s="61">
        <f>C30+C31+C32</f>
        <v>766.4</v>
      </c>
      <c r="E33" s="49"/>
      <c r="F33" s="46"/>
    </row>
    <row r="34">
      <c r="B34" s="64" t="s">
        <v>72</v>
      </c>
      <c r="C34" s="65">
        <f>SUM(DASHWORD!R27:R42)</f>
        <v>190</v>
      </c>
      <c r="E34" s="49"/>
      <c r="F34" s="46"/>
    </row>
    <row r="35">
      <c r="B35" s="64" t="s">
        <v>73</v>
      </c>
      <c r="C35" s="68">
        <f>C33-C34</f>
        <v>576.4</v>
      </c>
      <c r="E35" s="49"/>
      <c r="F35" s="46"/>
    </row>
    <row r="36">
      <c r="B36" s="64" t="s">
        <v>78</v>
      </c>
      <c r="C36" s="76" t="str">
        <f>IF(C35=0,"SI","NO")</f>
        <v>NO</v>
      </c>
      <c r="E36" s="49"/>
      <c r="F36" s="46"/>
    </row>
    <row r="37">
      <c r="B37" s="80"/>
      <c r="C37" s="80"/>
      <c r="E37" s="49"/>
      <c r="F37" s="46"/>
    </row>
    <row r="38">
      <c r="B38" s="83" t="s">
        <v>86</v>
      </c>
      <c r="C38" s="84">
        <f>DASHWORD!R44</f>
        <v>0</v>
      </c>
      <c r="E38" s="49"/>
      <c r="F38" s="46"/>
    </row>
    <row r="39">
      <c r="B39" s="28" t="s">
        <v>89</v>
      </c>
      <c r="C39" s="85">
        <f>C33+C38</f>
        <v>766.4</v>
      </c>
      <c r="E39" s="49"/>
      <c r="F39" s="46"/>
    </row>
  </sheetData>
  <mergeCells count="12">
    <mergeCell ref="E35:F35"/>
    <mergeCell ref="E36:F36"/>
    <mergeCell ref="E37:F37"/>
    <mergeCell ref="E38:F38"/>
    <mergeCell ref="E39:F39"/>
    <mergeCell ref="E28:F28"/>
    <mergeCell ref="E29:F29"/>
    <mergeCell ref="E30:F30"/>
    <mergeCell ref="E31:F31"/>
    <mergeCell ref="E32:F32"/>
    <mergeCell ref="E33:F33"/>
    <mergeCell ref="E34:F3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B2" s="4" t="s">
        <v>1</v>
      </c>
      <c r="C2" s="6"/>
      <c r="D2" s="6"/>
      <c r="E2" s="6"/>
      <c r="F2" s="6"/>
      <c r="G2" s="6"/>
      <c r="H2" s="6"/>
      <c r="I2" s="8"/>
    </row>
    <row r="3">
      <c r="B3" s="9" t="s">
        <v>15</v>
      </c>
      <c r="C3" s="8"/>
      <c r="D3" s="10"/>
      <c r="E3" s="6"/>
      <c r="F3" s="6"/>
      <c r="G3" s="6"/>
      <c r="H3" s="6"/>
      <c r="I3" s="8"/>
    </row>
    <row r="4">
      <c r="B4" s="9" t="s">
        <v>17</v>
      </c>
      <c r="C4" s="8"/>
      <c r="D4" s="10" t="s">
        <v>18</v>
      </c>
      <c r="E4" s="6"/>
      <c r="F4" s="6"/>
      <c r="G4" s="6"/>
      <c r="H4" s="6"/>
      <c r="I4" s="8"/>
    </row>
    <row r="5">
      <c r="B5" s="9" t="s">
        <v>19</v>
      </c>
      <c r="C5" s="8"/>
      <c r="D5" s="12"/>
      <c r="E5" s="6"/>
      <c r="F5" s="6"/>
      <c r="G5" s="6"/>
      <c r="H5" s="6"/>
      <c r="I5" s="8"/>
    </row>
    <row r="6">
      <c r="B6" s="9" t="s">
        <v>50</v>
      </c>
      <c r="C6" s="8"/>
      <c r="D6" s="12"/>
      <c r="E6" s="6"/>
      <c r="F6" s="6"/>
      <c r="G6" s="6"/>
      <c r="H6" s="6"/>
      <c r="I6" s="8"/>
    </row>
  </sheetData>
  <mergeCells count="9">
    <mergeCell ref="B6:C6"/>
    <mergeCell ref="D6:I6"/>
    <mergeCell ref="B2:I2"/>
    <mergeCell ref="B3:C3"/>
    <mergeCell ref="D3:I3"/>
    <mergeCell ref="B4:C4"/>
    <mergeCell ref="D4:I4"/>
    <mergeCell ref="B5:C5"/>
    <mergeCell ref="D5:I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75"/>
    <col customWidth="1" min="3" max="3" width="15.25"/>
    <col customWidth="1" min="4" max="4" width="53.88"/>
    <col customWidth="1" min="6" max="6" width="15.38"/>
    <col customWidth="1" min="7" max="7" width="26.25"/>
    <col customWidth="1" min="8" max="8" width="31.88"/>
    <col customWidth="1" min="9" max="9" width="25.25"/>
  </cols>
  <sheetData>
    <row r="2">
      <c r="A2" s="67" t="s">
        <v>74</v>
      </c>
      <c r="B2" s="69" t="s">
        <v>76</v>
      </c>
      <c r="C2" s="70" t="s">
        <v>77</v>
      </c>
      <c r="D2" s="70" t="s">
        <v>79</v>
      </c>
      <c r="F2" s="71"/>
      <c r="G2" s="72" t="s">
        <v>81</v>
      </c>
      <c r="H2" s="72" t="s">
        <v>82</v>
      </c>
      <c r="I2" s="72" t="s">
        <v>83</v>
      </c>
      <c r="J2" s="74"/>
    </row>
    <row r="3">
      <c r="A3" s="77"/>
      <c r="B3" s="78"/>
      <c r="C3" s="79"/>
      <c r="D3" s="79"/>
      <c r="F3" s="81" t="s">
        <v>84</v>
      </c>
      <c r="G3" s="82">
        <v>1500.0</v>
      </c>
      <c r="H3" s="82">
        <v>5.5</v>
      </c>
      <c r="I3" s="82">
        <f t="shared" ref="I3:I4" si="1">H3*6</f>
        <v>33</v>
      </c>
      <c r="J3" s="86">
        <f t="shared" ref="J3:J4" si="2">G3/I3</f>
        <v>45.45454545</v>
      </c>
    </row>
    <row r="4" ht="39.75" customHeight="1">
      <c r="A4" s="87" t="s">
        <v>91</v>
      </c>
      <c r="B4" s="88">
        <v>1.0</v>
      </c>
      <c r="C4" s="89">
        <v>2.9</v>
      </c>
      <c r="D4" s="90"/>
      <c r="F4" s="81" t="s">
        <v>92</v>
      </c>
      <c r="G4" s="82">
        <f>J3*I4</f>
        <v>1772.727273</v>
      </c>
      <c r="H4" s="82">
        <v>6.5</v>
      </c>
      <c r="I4" s="82">
        <f t="shared" si="1"/>
        <v>39</v>
      </c>
      <c r="J4" s="91">
        <f t="shared" si="2"/>
        <v>45.45454545</v>
      </c>
    </row>
    <row r="5" ht="47.25" customHeight="1">
      <c r="A5" s="93"/>
      <c r="B5" s="88">
        <v>2.0</v>
      </c>
      <c r="C5" s="89">
        <v>3.2</v>
      </c>
      <c r="D5" s="94"/>
      <c r="F5" s="95" t="s">
        <v>94</v>
      </c>
      <c r="G5" s="96">
        <f>J3</f>
        <v>45.45454545</v>
      </c>
      <c r="I5" s="97"/>
      <c r="J5" s="97"/>
    </row>
    <row r="6" ht="39.0" customHeight="1">
      <c r="A6" s="98" t="s">
        <v>95</v>
      </c>
      <c r="B6" s="99">
        <v>3.0</v>
      </c>
      <c r="C6" s="100">
        <v>3.5</v>
      </c>
      <c r="D6" s="94"/>
      <c r="I6" s="97"/>
      <c r="J6" s="97"/>
    </row>
    <row r="7" ht="36.0" customHeight="1">
      <c r="A7" s="101" t="s">
        <v>96</v>
      </c>
      <c r="B7" s="102">
        <v>4.0</v>
      </c>
      <c r="C7" s="103">
        <v>3.8</v>
      </c>
      <c r="D7" s="94"/>
    </row>
    <row r="8" ht="45.0" customHeight="1">
      <c r="A8" s="104" t="s">
        <v>97</v>
      </c>
      <c r="B8" s="105">
        <v>5.0</v>
      </c>
      <c r="C8" s="106">
        <v>5.0</v>
      </c>
      <c r="D8" s="107"/>
      <c r="F8" s="71"/>
      <c r="G8" s="72" t="s">
        <v>98</v>
      </c>
      <c r="H8" s="72" t="s">
        <v>99</v>
      </c>
    </row>
    <row r="9">
      <c r="F9" s="81" t="s">
        <v>84</v>
      </c>
      <c r="G9" s="108">
        <f>1000*4</f>
        <v>4000</v>
      </c>
      <c r="H9" s="109">
        <f>1800*4</f>
        <v>7200</v>
      </c>
    </row>
    <row r="10">
      <c r="F10" s="81" t="s">
        <v>92</v>
      </c>
      <c r="G10" s="108">
        <f>1200*4</f>
        <v>4800</v>
      </c>
      <c r="H10" s="110"/>
    </row>
  </sheetData>
  <mergeCells count="6">
    <mergeCell ref="A2:A3"/>
    <mergeCell ref="B2:B3"/>
    <mergeCell ref="C2:C3"/>
    <mergeCell ref="D2:D3"/>
    <mergeCell ref="A4:A5"/>
    <mergeCell ref="H9:H1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